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CKUP 09-03-2022\CISCO\CCNA 1 SENAI SC\Material Instrutor\Módulo 11\"/>
    </mc:Choice>
  </mc:AlternateContent>
  <xr:revisionPtr revIDLastSave="0" documentId="13_ncr:1_{CF2083BA-082F-4CFD-A37C-7F3E2A92FB9B}" xr6:coauthVersionLast="47" xr6:coauthVersionMax="47" xr10:uidLastSave="{00000000-0000-0000-0000-000000000000}"/>
  <bookViews>
    <workbookView xWindow="24" yWindow="24" windowWidth="23016" windowHeight="12936" activeTab="2" xr2:uid="{C9898CB8-8B09-4813-8ED8-B3EC6FFD7678}"/>
  </bookViews>
  <sheets>
    <sheet name="Cãlculo IP" sheetId="1" r:id="rId1"/>
    <sheet name="Máscara de Rede" sheetId="2" r:id="rId2"/>
    <sheet name="Projeto de Rede CCNA 1" sheetId="4" r:id="rId3"/>
  </sheets>
  <definedNames>
    <definedName name="Texto10" localSheetId="2">'Projeto de Rede CCNA 1'!$B$5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7" i="2" l="1"/>
  <c r="Z8" i="2"/>
  <c r="AD7" i="2" l="1"/>
  <c r="O4" i="2"/>
  <c r="AE22" i="2"/>
  <c r="Y15" i="2"/>
  <c r="AA12" i="2"/>
  <c r="M17" i="2"/>
  <c r="C7" i="1"/>
  <c r="AB7" i="2" l="1"/>
  <c r="AA5" i="2"/>
  <c r="AC5" i="2" s="1"/>
  <c r="AB9" i="2" l="1"/>
</calcChain>
</file>

<file path=xl/sharedStrings.xml><?xml version="1.0" encoding="utf-8"?>
<sst xmlns="http://schemas.openxmlformats.org/spreadsheetml/2006/main" count="635" uniqueCount="415">
  <si>
    <r>
      <t>2^</t>
    </r>
    <r>
      <rPr>
        <sz val="12"/>
        <color theme="1"/>
        <rFont val="Calibri"/>
        <family val="2"/>
        <scheme val="minor"/>
      </rPr>
      <t>7</t>
    </r>
  </si>
  <si>
    <t>2^6</t>
  </si>
  <si>
    <t>2^5</t>
  </si>
  <si>
    <t>2^0</t>
  </si>
  <si>
    <t>2^1</t>
  </si>
  <si>
    <t>2^2</t>
  </si>
  <si>
    <t>2^3</t>
  </si>
  <si>
    <t>2^4</t>
  </si>
  <si>
    <t>Bit</t>
  </si>
  <si>
    <t>Bin</t>
  </si>
  <si>
    <t>Dec</t>
  </si>
  <si>
    <t>Cálculo de Números Bin/ IPV4</t>
  </si>
  <si>
    <t>FF:FF:FF:FF:FF:FF</t>
  </si>
  <si>
    <t>11011110.11111101.00111101.00111100</t>
  </si>
  <si>
    <t>222.253.61.60</t>
  </si>
  <si>
    <t>1010-0000 = A0     1111-1111 = FF</t>
  </si>
  <si>
    <t>Máscara de Sub-Rede</t>
  </si>
  <si>
    <t>Endereço de 32 bits</t>
  </si>
  <si>
    <t xml:space="preserve">Prefixo </t>
  </si>
  <si>
    <t>Duração</t>
  </si>
  <si>
    <t>255.0.0.0</t>
  </si>
  <si>
    <t>/8</t>
  </si>
  <si>
    <t>255.255.0.0</t>
  </si>
  <si>
    <t>/16</t>
  </si>
  <si>
    <t>255.255.255.0</t>
  </si>
  <si>
    <t>/24</t>
  </si>
  <si>
    <t>/25</t>
  </si>
  <si>
    <t>/26</t>
  </si>
  <si>
    <t>/27</t>
  </si>
  <si>
    <t>/28</t>
  </si>
  <si>
    <t>/29</t>
  </si>
  <si>
    <t>/30</t>
  </si>
  <si>
    <t>Parte de rede</t>
  </si>
  <si>
    <t>Parte de host</t>
  </si>
  <si>
    <t>Bitsde host</t>
  </si>
  <si>
    <t>Máscara de sub-rede</t>
  </si>
  <si>
    <r>
      <t>255.255.255.</t>
    </r>
    <r>
      <rPr>
        <sz val="10"/>
        <color rgb="FF58585B"/>
        <rFont val="Arial"/>
        <family val="2"/>
      </rPr>
      <t xml:space="preserve">0 ou </t>
    </r>
    <r>
      <rPr>
        <b/>
        <sz val="10"/>
        <color rgb="FF58585B"/>
        <rFont val="Arial"/>
        <family val="2"/>
      </rPr>
      <t>/24</t>
    </r>
  </si>
  <si>
    <t>255 255 255</t>
  </si>
  <si>
    <t>11111111 111111 111111 111111</t>
  </si>
  <si>
    <t>Endereço de rede</t>
  </si>
  <si>
    <r>
      <t>192.168.10.</t>
    </r>
    <r>
      <rPr>
        <sz val="10"/>
        <color rgb="FF58585B"/>
        <rFont val="Arial"/>
        <family val="2"/>
      </rPr>
      <t xml:space="preserve">0 ou </t>
    </r>
    <r>
      <rPr>
        <b/>
        <sz val="10"/>
        <color rgb="FF58585B"/>
        <rFont val="Arial"/>
        <family val="2"/>
      </rPr>
      <t>/24</t>
    </r>
  </si>
  <si>
    <t>192 168 10</t>
  </si>
  <si>
    <t>11000000 10100000 00001010</t>
  </si>
  <si>
    <t>Todos os 0</t>
  </si>
  <si>
    <t>Primeiro endereço</t>
  </si>
  <si>
    <r>
      <t>192.168.10.1</t>
    </r>
    <r>
      <rPr>
        <sz val="10"/>
        <color rgb="FF58585B"/>
        <rFont val="Arial"/>
        <family val="2"/>
      </rPr>
      <t xml:space="preserve"> ou </t>
    </r>
    <r>
      <rPr>
        <b/>
        <sz val="10"/>
        <color rgb="FF58585B"/>
        <rFont val="Arial"/>
        <family val="2"/>
      </rPr>
      <t>/24</t>
    </r>
  </si>
  <si>
    <t>Todos os 0s e um 1</t>
  </si>
  <si>
    <t>Último endereço</t>
  </si>
  <si>
    <r>
      <t>192.168.10.254</t>
    </r>
    <r>
      <rPr>
        <sz val="10"/>
        <color rgb="FF58585B"/>
        <rFont val="Arial"/>
        <family val="2"/>
      </rPr>
      <t xml:space="preserve"> ou </t>
    </r>
    <r>
      <rPr>
        <b/>
        <sz val="10"/>
        <color rgb="FF58585B"/>
        <rFont val="Arial"/>
        <family val="2"/>
      </rPr>
      <t>/24</t>
    </r>
  </si>
  <si>
    <t>Todos os 1s e um 0</t>
  </si>
  <si>
    <t>Endereço de broadcast</t>
  </si>
  <si>
    <r>
      <t>192.168.10.255</t>
    </r>
    <r>
      <rPr>
        <sz val="10"/>
        <color rgb="FF58585B"/>
        <rFont val="Arial"/>
        <family val="2"/>
      </rPr>
      <t xml:space="preserve"> ou </t>
    </r>
    <r>
      <rPr>
        <b/>
        <sz val="10"/>
        <color rgb="FF58585B"/>
        <rFont val="Arial"/>
        <family val="2"/>
      </rPr>
      <t>/24</t>
    </r>
  </si>
  <si>
    <t>Todos os 1s</t>
  </si>
  <si>
    <t>00000000</t>
  </si>
  <si>
    <t>00000001</t>
  </si>
  <si>
    <t>Cálculo de Números Bin/ Máscara de SubRede</t>
  </si>
  <si>
    <t>Rede/Host</t>
  </si>
  <si>
    <t>Endereço de rede e prefixo</t>
  </si>
  <si>
    <t>RFC 1918 Intervalo de endereços privados</t>
  </si>
  <si>
    <t>10.0.0.0/8</t>
  </si>
  <si>
    <t>10.0.0.0 - 10.255.255.255</t>
  </si>
  <si>
    <t>172.16.0.0/12</t>
  </si>
  <si>
    <t>172.16.0.0 - 172.31.255.255</t>
  </si>
  <si>
    <t>192.168.0.0/16</t>
  </si>
  <si>
    <t>192.168.0.0 - 192.168.255.255</t>
  </si>
  <si>
    <t>Endereço Legado</t>
  </si>
  <si>
    <t xml:space="preserve">Classe A </t>
  </si>
  <si>
    <t xml:space="preserve">Classe B </t>
  </si>
  <si>
    <t xml:space="preserve">Classe C </t>
  </si>
  <si>
    <t xml:space="preserve">Classe D </t>
  </si>
  <si>
    <t xml:space="preserve">Classe E </t>
  </si>
  <si>
    <t>(0.0.0/8 a 127.0.0.0/8)</t>
  </si>
  <si>
    <t>(128.0.0.0 /16 — 191.255.0.0 /16)</t>
  </si>
  <si>
    <t>(192.0.0.0 /24 — 223.255.255.0 /24)</t>
  </si>
  <si>
    <t>(224.0.0.0 a 239.0.0.0)</t>
  </si>
  <si>
    <t>(240.0.0.0 — 255.0.0.0)</t>
  </si>
  <si>
    <t>Comprimento do Prefixo</t>
  </si>
  <si>
    <t>Máscara de sub-rede em binário (n = rede, h = host)</t>
  </si>
  <si>
    <t>Nº de hosts</t>
  </si>
  <si>
    <r>
      <t>255</t>
    </r>
    <r>
      <rPr>
        <sz val="11"/>
        <color rgb="FF58585B"/>
        <rFont val="Arial"/>
        <family val="2"/>
      </rPr>
      <t>.0.0.0</t>
    </r>
  </si>
  <si>
    <r>
      <t>nnnnnnnn</t>
    </r>
    <r>
      <rPr>
        <sz val="11"/>
        <color rgb="FF58585B"/>
        <rFont val="Courier New"/>
        <family val="3"/>
      </rPr>
      <t xml:space="preserve">.hhhhhhhh.hhhhhhhh.hhhhhhhh </t>
    </r>
  </si>
  <si>
    <r>
      <t>255.255</t>
    </r>
    <r>
      <rPr>
        <sz val="11"/>
        <color rgb="FF58585B"/>
        <rFont val="Arial"/>
        <family val="2"/>
      </rPr>
      <t>.0.0</t>
    </r>
  </si>
  <si>
    <r>
      <t>nnnnnnnn.nnnnnnnn</t>
    </r>
    <r>
      <rPr>
        <sz val="11"/>
        <color rgb="FF58585B"/>
        <rFont val="Courier New"/>
        <family val="3"/>
      </rPr>
      <t xml:space="preserve">.hhhhhhhh.hhhhhhhh </t>
    </r>
  </si>
  <si>
    <r>
      <t>255.255.255</t>
    </r>
    <r>
      <rPr>
        <sz val="11"/>
        <color rgb="FF58585B"/>
        <rFont val="Arial"/>
        <family val="2"/>
      </rPr>
      <t>.0</t>
    </r>
  </si>
  <si>
    <r>
      <t>nnnnnnnn.nnnnnnnn</t>
    </r>
    <r>
      <rPr>
        <sz val="11"/>
        <color rgb="FF58585B"/>
        <rFont val="Courier New"/>
        <family val="3"/>
      </rPr>
      <t>.</t>
    </r>
    <r>
      <rPr>
        <b/>
        <sz val="11"/>
        <color rgb="FF58585B"/>
        <rFont val="Courier New"/>
        <family val="3"/>
      </rPr>
      <t>nnnnnnnn</t>
    </r>
    <r>
      <rPr>
        <sz val="11"/>
        <color rgb="FF58585B"/>
        <rFont val="Courier New"/>
        <family val="3"/>
      </rPr>
      <t xml:space="preserve">.hhhhhhhh </t>
    </r>
  </si>
  <si>
    <t>2*2=4</t>
  </si>
  <si>
    <t>Rede</t>
  </si>
  <si>
    <t>Broadcast</t>
  </si>
  <si>
    <t>Rede WAN 1 - Conexão RJ x SP</t>
  </si>
  <si>
    <t>Rede WAN 2 - Conexão RJ x RN</t>
  </si>
  <si>
    <t>0.0.0.63</t>
  </si>
  <si>
    <t>1. Você ganhou uma concorrência para projetar uma rede para a empresa "TecTubos”. A fábrica da empresa ficará localizada na cidade de Volta Redonda. Possuirá filiais de Venda de seus produtos nas cidades de São Paulo - SP, Rio de Janeiro – RJ, Curitiba – PR, Recife - PE, Belo Horizonte – MG, Salvador – BA e Porto Alegre – RS.</t>
  </si>
  <si>
    <t>Considerações sobre a empresa em Volta Redonda:</t>
  </si>
  <si>
    <r>
      <t>·</t>
    </r>
    <r>
      <rPr>
        <sz val="7"/>
        <color theme="1"/>
        <rFont val="Times New Roman"/>
        <family val="1"/>
      </rPr>
      <t xml:space="preserve">     </t>
    </r>
    <r>
      <rPr>
        <b/>
        <i/>
        <sz val="12"/>
        <color theme="1"/>
        <rFont val="Times New Roman"/>
        <family val="1"/>
      </rPr>
      <t>Toda a área pertence a empresa;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</si>
  <si>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b/>
        <i/>
        <sz val="12"/>
        <color theme="1"/>
        <rFont val="Times New Roman"/>
        <family val="1"/>
      </rPr>
      <t>Será instalado um acesso à Internet</t>
    </r>
  </si>
  <si>
    <t>Distribuição de pontos previstos:</t>
  </si>
  <si>
    <r>
      <t>Þ</t>
    </r>
    <r>
      <rPr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Portaria Principal:</t>
    </r>
  </si>
  <si>
    <t>02 pontos</t>
  </si>
  <si>
    <r>
      <t>Þ</t>
    </r>
    <r>
      <rPr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Prédio da Administração</t>
    </r>
  </si>
  <si>
    <r>
      <t>Þ</t>
    </r>
    <r>
      <rPr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Unidade Industrial I:</t>
    </r>
  </si>
  <si>
    <t>02 pontos na Fábrica e 12 pontos no Escritório da Unidade</t>
  </si>
  <si>
    <r>
      <t>Þ</t>
    </r>
    <r>
      <rPr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Unidade Industrial II:</t>
    </r>
  </si>
  <si>
    <t>03pontos na Fábrica e 12 pontos no Escritório da Unidade</t>
  </si>
  <si>
    <r>
      <t>Þ</t>
    </r>
    <r>
      <rPr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Escoamento da Produção:</t>
    </r>
  </si>
  <si>
    <t>01 ponto na Unidade de Escoamento e 12 pontos no Escritório</t>
  </si>
  <si>
    <r>
      <t xml:space="preserve">      Ø</t>
    </r>
    <r>
      <rPr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1.andar: 60  pontos;</t>
    </r>
  </si>
  <si>
    <r>
      <t xml:space="preserve">      Ø</t>
    </r>
    <r>
      <rPr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2.andar: 95 pontos;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</si>
  <si>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b/>
        <i/>
        <sz val="12"/>
        <color theme="1"/>
        <rFont val="Times New Roman"/>
        <family val="1"/>
      </rPr>
      <t>Nas filias prever 3 pontos de rede (2 estações e 1 impressora);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</si>
  <si>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b/>
        <i/>
        <sz val="12"/>
        <color theme="1"/>
        <rFont val="Times New Roman"/>
        <family val="1"/>
      </rPr>
      <t>Prever também para as filiais ramais de longa distância com VoIP;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</si>
  <si>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b/>
        <i/>
        <sz val="12"/>
        <color theme="1"/>
        <rFont val="Times New Roman"/>
        <family val="1"/>
      </rPr>
      <t>Considerar que serão adquiridos 04 servidores para atender a empresa: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</si>
  <si>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b/>
        <i/>
        <sz val="12"/>
        <color theme="1"/>
        <rFont val="Times New Roman"/>
        <family val="1"/>
      </rPr>
      <t>Considerar que será utilizado uma solução server-based computing;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</si>
  <si>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b/>
        <i/>
        <sz val="12"/>
        <color theme="1"/>
        <rFont val="Times New Roman"/>
        <family val="1"/>
      </rPr>
      <t>Os serviços de rede deverão ser acessados de qualquer ponto da empresa, seja na fábrica, nas suas filiais ou com os funcionários em trânsito (fora da empresa);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</si>
  <si>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b/>
        <i/>
        <sz val="12"/>
        <color theme="1"/>
        <rFont val="Times New Roman"/>
        <family val="1"/>
      </rPr>
      <t>Para cada andar do prédio da administração deverá ser segmentado por VLANs;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</si>
  <si>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b/>
        <i/>
        <sz val="12"/>
        <color theme="1"/>
        <rFont val="Times New Roman"/>
        <family val="1"/>
      </rPr>
      <t>No terceiro andar do prédio da administração deverá ser previsto uma WLAN para atender a diretoria da empresa;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</si>
  <si>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b/>
        <i/>
        <sz val="12"/>
        <color theme="1"/>
        <rFont val="Times New Roman"/>
        <family val="1"/>
      </rPr>
      <t>Na empresa em Volta Redonda, temos uma agência bancária que não possui nenhuma conexão com a rede local da empresa. Os funcionários da empresa acessam informações sobre sua conta corrente somente via Internet.</t>
    </r>
  </si>
  <si>
    <r>
      <t xml:space="preserve">    ü</t>
    </r>
    <r>
      <rPr>
        <sz val="7"/>
        <color theme="1"/>
        <rFont val="Times New Roman"/>
        <family val="1"/>
      </rPr>
      <t xml:space="preserve">  </t>
    </r>
    <r>
      <rPr>
        <b/>
        <i/>
        <sz val="12"/>
        <color theme="1"/>
        <rFont val="Times New Roman"/>
        <family val="1"/>
      </rPr>
      <t>1 Servidor de Arquivos (Windows 2000 Server);</t>
    </r>
  </si>
  <si>
    <r>
      <t xml:space="preserve">    ü</t>
    </r>
    <r>
      <rPr>
        <sz val="7"/>
        <color theme="1"/>
        <rFont val="Times New Roman"/>
        <family val="1"/>
      </rPr>
      <t xml:space="preserve">  </t>
    </r>
    <r>
      <rPr>
        <b/>
        <i/>
        <sz val="12"/>
        <color theme="1"/>
        <rFont val="Times New Roman"/>
        <family val="1"/>
      </rPr>
      <t>1 Servidor de Email (Windows 2000 Server);</t>
    </r>
  </si>
  <si>
    <r>
      <t xml:space="preserve">    ü</t>
    </r>
    <r>
      <rPr>
        <sz val="7"/>
        <color theme="1"/>
        <rFont val="Times New Roman"/>
        <family val="1"/>
      </rPr>
      <t xml:space="preserve">  </t>
    </r>
    <r>
      <rPr>
        <b/>
        <i/>
        <sz val="12"/>
        <color theme="1"/>
        <rFont val="Times New Roman"/>
        <family val="1"/>
      </rPr>
      <t>1 Servidor de aplicação Intranet (Windows 2000 Server);</t>
    </r>
  </si>
  <si>
    <r>
      <t xml:space="preserve">    ü</t>
    </r>
    <r>
      <rPr>
        <sz val="7"/>
        <color theme="1"/>
        <rFont val="Times New Roman"/>
        <family val="1"/>
      </rPr>
      <t xml:space="preserve">  </t>
    </r>
    <r>
      <rPr>
        <b/>
        <i/>
        <sz val="12"/>
        <color theme="1"/>
        <rFont val="Times New Roman"/>
        <family val="1"/>
      </rPr>
      <t>1 Servidor de banco de dados (Linux);</t>
    </r>
  </si>
  <si>
    <r>
      <t xml:space="preserve">    ü</t>
    </r>
    <r>
      <rPr>
        <sz val="7"/>
        <color theme="1"/>
        <rFont val="Times New Roman"/>
        <family val="1"/>
      </rPr>
      <t xml:space="preserve">  </t>
    </r>
    <r>
      <rPr>
        <b/>
        <i/>
        <sz val="12"/>
        <color theme="1"/>
        <rFont val="Times New Roman"/>
        <family val="1"/>
      </rPr>
      <t>1 Servidor WEB.</t>
    </r>
  </si>
  <si>
    <t>Pede-se:</t>
  </si>
  <si>
    <r>
      <t>1)</t>
    </r>
    <r>
      <rPr>
        <b/>
        <i/>
        <sz val="7"/>
        <color theme="1"/>
        <rFont val="Times New Roman"/>
        <family val="1"/>
      </rPr>
      <t xml:space="preserve">     </t>
    </r>
    <r>
      <rPr>
        <b/>
        <i/>
        <sz val="12"/>
        <color theme="1"/>
        <rFont val="Times New Roman"/>
        <family val="1"/>
      </rPr>
      <t>Topologia da rede;</t>
    </r>
  </si>
  <si>
    <r>
      <t>2)</t>
    </r>
    <r>
      <rPr>
        <b/>
        <i/>
        <sz val="7"/>
        <color theme="1"/>
        <rFont val="Times New Roman"/>
        <family val="1"/>
      </rPr>
      <t xml:space="preserve">     </t>
    </r>
    <r>
      <rPr>
        <b/>
        <i/>
        <sz val="12"/>
        <color theme="1"/>
        <rFont val="Times New Roman"/>
        <family val="1"/>
      </rPr>
      <t>Descrição das tecnologias a serem utilizadas;</t>
    </r>
  </si>
  <si>
    <r>
      <t>3)</t>
    </r>
    <r>
      <rPr>
        <b/>
        <i/>
        <sz val="7"/>
        <color theme="1"/>
        <rFont val="Times New Roman"/>
        <family val="1"/>
      </rPr>
      <t xml:space="preserve">     </t>
    </r>
    <r>
      <rPr>
        <b/>
        <i/>
        <sz val="12"/>
        <color theme="1"/>
        <rFont val="Times New Roman"/>
        <family val="1"/>
      </rPr>
      <t>Especificações dos equipamentos;</t>
    </r>
  </si>
  <si>
    <r>
      <t>4)</t>
    </r>
    <r>
      <rPr>
        <b/>
        <i/>
        <sz val="7"/>
        <color theme="1"/>
        <rFont val="Times New Roman"/>
        <family val="1"/>
      </rPr>
      <t xml:space="preserve">     </t>
    </r>
    <r>
      <rPr>
        <b/>
        <i/>
        <sz val="12"/>
        <color theme="1"/>
        <rFont val="Times New Roman"/>
        <family val="1"/>
      </rPr>
      <t>Plano de Endereçamento IP;</t>
    </r>
  </si>
  <si>
    <r>
      <t>5)</t>
    </r>
    <r>
      <rPr>
        <b/>
        <i/>
        <sz val="7"/>
        <color theme="1"/>
        <rFont val="Times New Roman"/>
        <family val="1"/>
      </rPr>
      <t xml:space="preserve">     </t>
    </r>
    <r>
      <rPr>
        <b/>
        <i/>
        <sz val="12"/>
        <color theme="1"/>
        <rFont val="Times New Roman"/>
        <family val="1"/>
      </rPr>
      <t>Descrição de como será implementado os serviços de rede;</t>
    </r>
  </si>
  <si>
    <t xml:space="preserve">     6)   Prever uma solução VoIP.</t>
  </si>
  <si>
    <t>1. Crie a Topologia de Rede deste Estudo de Caso. Pode-se utilizar o MS-Visio, o Software Dia ou o Packet Tracer. A Topologia deverá ser enviada como um arquivo em desenho para o e-mail do Professor, junto com este exercício. OBS.: Utilizar esta topologia para apresentar o máximo de informações:</t>
  </si>
  <si>
    <t>2. Crie o Plano de Endereçamento IP desta Rede de acordo com a Planilha abaixo:</t>
  </si>
  <si>
    <t>OBS.: Existe um Modelo através da Rede ADM_1Andar em LAN-VR</t>
  </si>
  <si>
    <t>Localidade</t>
  </si>
  <si>
    <t>Nome da  Rede / sub-rede</t>
  </si>
  <si>
    <t>Endereço da sub-rede</t>
  </si>
  <si>
    <t>Endereço dos Hosts</t>
  </si>
  <si>
    <t>Endereço de Broadcast</t>
  </si>
  <si>
    <t>Default  Gateway</t>
  </si>
  <si>
    <t>Quantidade de Hosts de Acordo com Projeto</t>
  </si>
  <si>
    <t>Início</t>
  </si>
  <si>
    <t>Término</t>
  </si>
  <si>
    <t>LAN-VR</t>
  </si>
  <si>
    <t>LAN-SP</t>
  </si>
  <si>
    <t>LAN-RJ</t>
  </si>
  <si>
    <t>LAN-PR</t>
  </si>
  <si>
    <t>LAN-PE</t>
  </si>
  <si>
    <t>LAN-BH</t>
  </si>
  <si>
    <t>LAN-BA</t>
  </si>
  <si>
    <t>LAN-RS</t>
  </si>
  <si>
    <t>Quantidade de Hosts</t>
  </si>
  <si>
    <t xml:space="preserve">Endereço de sub-rede </t>
  </si>
  <si>
    <t>(256 possíveis sub-redes)</t>
  </si>
  <si>
    <t xml:space="preserve">Intervalo de hosts </t>
  </si>
  <si>
    <t>(65.534 hosts possíveis por sub-rede)</t>
  </si>
  <si>
    <r>
      <t>10.0</t>
    </r>
    <r>
      <rPr>
        <sz val="10"/>
        <color rgb="FF58585B"/>
        <rFont val="Arial"/>
        <family val="2"/>
      </rPr>
      <t>.0.0</t>
    </r>
    <r>
      <rPr>
        <b/>
        <sz val="10"/>
        <color rgb="FF58585B"/>
        <rFont val="Arial"/>
        <family val="2"/>
      </rPr>
      <t>/16</t>
    </r>
  </si>
  <si>
    <r>
      <t>10.0</t>
    </r>
    <r>
      <rPr>
        <sz val="10"/>
        <color rgb="FF58585B"/>
        <rFont val="Arial"/>
        <family val="2"/>
      </rPr>
      <t xml:space="preserve">.0.1 - </t>
    </r>
    <r>
      <rPr>
        <b/>
        <sz val="10"/>
        <color rgb="FF58585B"/>
        <rFont val="Arial"/>
        <family val="2"/>
      </rPr>
      <t>10.0</t>
    </r>
    <r>
      <rPr>
        <sz val="10"/>
        <color rgb="FF58585B"/>
        <rFont val="Arial"/>
        <family val="2"/>
      </rPr>
      <t xml:space="preserve">.255.254 </t>
    </r>
  </si>
  <si>
    <r>
      <t>10.0</t>
    </r>
    <r>
      <rPr>
        <sz val="10"/>
        <color rgb="FF58585B"/>
        <rFont val="Arial"/>
        <family val="2"/>
      </rPr>
      <t>.255.255</t>
    </r>
  </si>
  <si>
    <r>
      <t>10.1.</t>
    </r>
    <r>
      <rPr>
        <sz val="10"/>
        <color rgb="FF58585B"/>
        <rFont val="Arial"/>
        <family val="2"/>
      </rPr>
      <t>0.0</t>
    </r>
    <r>
      <rPr>
        <b/>
        <sz val="10"/>
        <color rgb="FF58585B"/>
        <rFont val="Arial"/>
        <family val="2"/>
      </rPr>
      <t>/16</t>
    </r>
  </si>
  <si>
    <r>
      <t>10.1</t>
    </r>
    <r>
      <rPr>
        <sz val="10"/>
        <color rgb="FF58585B"/>
        <rFont val="Arial"/>
        <family val="2"/>
      </rPr>
      <t xml:space="preserve">.0.1 - </t>
    </r>
    <r>
      <rPr>
        <b/>
        <sz val="10"/>
        <color rgb="FF58585B"/>
        <rFont val="Arial"/>
        <family val="2"/>
      </rPr>
      <t>10.1</t>
    </r>
    <r>
      <rPr>
        <sz val="10"/>
        <color rgb="FF58585B"/>
        <rFont val="Arial"/>
        <family val="2"/>
      </rPr>
      <t xml:space="preserve">.255.254 </t>
    </r>
  </si>
  <si>
    <r>
      <t>10.1</t>
    </r>
    <r>
      <rPr>
        <sz val="10"/>
        <color rgb="FF58585B"/>
        <rFont val="Arial"/>
        <family val="2"/>
      </rPr>
      <t>.255.255</t>
    </r>
  </si>
  <si>
    <r>
      <t>10.2</t>
    </r>
    <r>
      <rPr>
        <sz val="10"/>
        <color rgb="FF58585B"/>
        <rFont val="Arial"/>
        <family val="2"/>
      </rPr>
      <t>.0.0</t>
    </r>
    <r>
      <rPr>
        <b/>
        <sz val="10"/>
        <color rgb="FF58585B"/>
        <rFont val="Arial"/>
        <family val="2"/>
      </rPr>
      <t>/16</t>
    </r>
  </si>
  <si>
    <r>
      <t>10.2</t>
    </r>
    <r>
      <rPr>
        <sz val="10"/>
        <color rgb="FF58585B"/>
        <rFont val="Arial"/>
        <family val="2"/>
      </rPr>
      <t xml:space="preserve">.0.1 - </t>
    </r>
    <r>
      <rPr>
        <b/>
        <sz val="10"/>
        <color rgb="FF58585B"/>
        <rFont val="Arial"/>
        <family val="2"/>
      </rPr>
      <t>10.2</t>
    </r>
    <r>
      <rPr>
        <sz val="10"/>
        <color rgb="FF58585B"/>
        <rFont val="Arial"/>
        <family val="2"/>
      </rPr>
      <t xml:space="preserve">.255.254 </t>
    </r>
  </si>
  <si>
    <r>
      <t>10.2</t>
    </r>
    <r>
      <rPr>
        <sz val="10"/>
        <color rgb="FF58585B"/>
        <rFont val="Arial"/>
        <family val="2"/>
      </rPr>
      <t>.255.255</t>
    </r>
  </si>
  <si>
    <r>
      <t>10.3</t>
    </r>
    <r>
      <rPr>
        <sz val="10"/>
        <color rgb="FF58585B"/>
        <rFont val="Arial"/>
        <family val="2"/>
      </rPr>
      <t>.0.0</t>
    </r>
    <r>
      <rPr>
        <b/>
        <sz val="10"/>
        <color rgb="FF58585B"/>
        <rFont val="Arial"/>
        <family val="2"/>
      </rPr>
      <t>/16</t>
    </r>
  </si>
  <si>
    <r>
      <t>10.3</t>
    </r>
    <r>
      <rPr>
        <sz val="10"/>
        <color rgb="FF58585B"/>
        <rFont val="Arial"/>
        <family val="2"/>
      </rPr>
      <t xml:space="preserve">.0.1 - </t>
    </r>
    <r>
      <rPr>
        <b/>
        <sz val="10"/>
        <color rgb="FF58585B"/>
        <rFont val="Arial"/>
        <family val="2"/>
      </rPr>
      <t>10.3</t>
    </r>
    <r>
      <rPr>
        <sz val="10"/>
        <color rgb="FF58585B"/>
        <rFont val="Arial"/>
        <family val="2"/>
      </rPr>
      <t xml:space="preserve">.255.254 </t>
    </r>
  </si>
  <si>
    <r>
      <t>10.3</t>
    </r>
    <r>
      <rPr>
        <sz val="10"/>
        <color rgb="FF58585B"/>
        <rFont val="Arial"/>
        <family val="2"/>
      </rPr>
      <t>.255.255</t>
    </r>
  </si>
  <si>
    <r>
      <t>10.4</t>
    </r>
    <r>
      <rPr>
        <sz val="10"/>
        <color rgb="FF58585B"/>
        <rFont val="Arial"/>
        <family val="2"/>
      </rPr>
      <t>.0.0</t>
    </r>
    <r>
      <rPr>
        <b/>
        <sz val="10"/>
        <color rgb="FF58585B"/>
        <rFont val="Arial"/>
        <family val="2"/>
      </rPr>
      <t>/16</t>
    </r>
  </si>
  <si>
    <r>
      <t>10.4</t>
    </r>
    <r>
      <rPr>
        <sz val="10"/>
        <color rgb="FF58585B"/>
        <rFont val="Arial"/>
        <family val="2"/>
      </rPr>
      <t xml:space="preserve">.0.1 - </t>
    </r>
    <r>
      <rPr>
        <b/>
        <sz val="10"/>
        <color rgb="FF58585B"/>
        <rFont val="Arial"/>
        <family val="2"/>
      </rPr>
      <t>10.4</t>
    </r>
    <r>
      <rPr>
        <sz val="10"/>
        <color rgb="FF58585B"/>
        <rFont val="Arial"/>
        <family val="2"/>
      </rPr>
      <t xml:space="preserve">.255.254 </t>
    </r>
  </si>
  <si>
    <r>
      <t>10.4</t>
    </r>
    <r>
      <rPr>
        <sz val="10"/>
        <color rgb="FF58585B"/>
        <rFont val="Arial"/>
        <family val="2"/>
      </rPr>
      <t>.255.255</t>
    </r>
  </si>
  <si>
    <r>
      <t>10.5</t>
    </r>
    <r>
      <rPr>
        <sz val="10"/>
        <color rgb="FF58585B"/>
        <rFont val="Arial"/>
        <family val="2"/>
      </rPr>
      <t>.0.0</t>
    </r>
    <r>
      <rPr>
        <b/>
        <sz val="10"/>
        <color rgb="FF58585B"/>
        <rFont val="Arial"/>
        <family val="2"/>
      </rPr>
      <t>/16</t>
    </r>
  </si>
  <si>
    <r>
      <t>10.5</t>
    </r>
    <r>
      <rPr>
        <sz val="10"/>
        <color rgb="FF58585B"/>
        <rFont val="Arial"/>
        <family val="2"/>
      </rPr>
      <t xml:space="preserve">.0.1 - </t>
    </r>
    <r>
      <rPr>
        <b/>
        <sz val="10"/>
        <color rgb="FF58585B"/>
        <rFont val="Arial"/>
        <family val="2"/>
      </rPr>
      <t>10.5</t>
    </r>
    <r>
      <rPr>
        <sz val="10"/>
        <color rgb="FF58585B"/>
        <rFont val="Arial"/>
        <family val="2"/>
      </rPr>
      <t xml:space="preserve">.255.254 </t>
    </r>
  </si>
  <si>
    <r>
      <t>10.5</t>
    </r>
    <r>
      <rPr>
        <sz val="10"/>
        <color rgb="FF58585B"/>
        <rFont val="Arial"/>
        <family val="2"/>
      </rPr>
      <t>.255.255</t>
    </r>
  </si>
  <si>
    <r>
      <t>10.6</t>
    </r>
    <r>
      <rPr>
        <sz val="10"/>
        <color rgb="FF58585B"/>
        <rFont val="Arial"/>
        <family val="2"/>
      </rPr>
      <t>.0.0</t>
    </r>
    <r>
      <rPr>
        <b/>
        <sz val="10"/>
        <color rgb="FF58585B"/>
        <rFont val="Arial"/>
        <family val="2"/>
      </rPr>
      <t>/16</t>
    </r>
  </si>
  <si>
    <r>
      <t>10.6</t>
    </r>
    <r>
      <rPr>
        <sz val="10"/>
        <color rgb="FF58585B"/>
        <rFont val="Arial"/>
        <family val="2"/>
      </rPr>
      <t xml:space="preserve">.0.1 - </t>
    </r>
    <r>
      <rPr>
        <b/>
        <sz val="10"/>
        <color rgb="FF58585B"/>
        <rFont val="Arial"/>
        <family val="2"/>
      </rPr>
      <t>10.6</t>
    </r>
    <r>
      <rPr>
        <sz val="10"/>
        <color rgb="FF58585B"/>
        <rFont val="Arial"/>
        <family val="2"/>
      </rPr>
      <t xml:space="preserve">.255.254 </t>
    </r>
  </si>
  <si>
    <r>
      <t>10.6</t>
    </r>
    <r>
      <rPr>
        <sz val="10"/>
        <color rgb="FF58585B"/>
        <rFont val="Arial"/>
        <family val="2"/>
      </rPr>
      <t>.255.255</t>
    </r>
  </si>
  <si>
    <r>
      <t>10.7</t>
    </r>
    <r>
      <rPr>
        <sz val="10"/>
        <color rgb="FF58585B"/>
        <rFont val="Arial"/>
        <family val="2"/>
      </rPr>
      <t>.0.0</t>
    </r>
    <r>
      <rPr>
        <b/>
        <sz val="10"/>
        <color rgb="FF58585B"/>
        <rFont val="Arial"/>
        <family val="2"/>
      </rPr>
      <t>/16</t>
    </r>
  </si>
  <si>
    <r>
      <t>10.7</t>
    </r>
    <r>
      <rPr>
        <sz val="10"/>
        <color rgb="FF58585B"/>
        <rFont val="Arial"/>
        <family val="2"/>
      </rPr>
      <t xml:space="preserve">.0.1 - </t>
    </r>
    <r>
      <rPr>
        <b/>
        <sz val="10"/>
        <color rgb="FF58585B"/>
        <rFont val="Arial"/>
        <family val="2"/>
      </rPr>
      <t>10.7</t>
    </r>
    <r>
      <rPr>
        <sz val="10"/>
        <color rgb="FF58585B"/>
        <rFont val="Arial"/>
        <family val="2"/>
      </rPr>
      <t xml:space="preserve">.255.254 </t>
    </r>
  </si>
  <si>
    <r>
      <t>10.7</t>
    </r>
    <r>
      <rPr>
        <sz val="10"/>
        <color rgb="FF58585B"/>
        <rFont val="Arial"/>
        <family val="2"/>
      </rPr>
      <t>.255.255</t>
    </r>
  </si>
  <si>
    <t>...</t>
  </si>
  <si>
    <r>
      <t>10.255</t>
    </r>
    <r>
      <rPr>
        <sz val="10"/>
        <color rgb="FF58585B"/>
        <rFont val="Arial"/>
        <family val="2"/>
      </rPr>
      <t>.0.0</t>
    </r>
    <r>
      <rPr>
        <b/>
        <sz val="10"/>
        <color rgb="FF58585B"/>
        <rFont val="Arial"/>
        <family val="2"/>
      </rPr>
      <t>/16</t>
    </r>
  </si>
  <si>
    <r>
      <t>10.255</t>
    </r>
    <r>
      <rPr>
        <sz val="10"/>
        <color rgb="FF58585B"/>
        <rFont val="Arial"/>
        <family val="2"/>
      </rPr>
      <t xml:space="preserve">.0.1 - </t>
    </r>
    <r>
      <rPr>
        <b/>
        <sz val="10"/>
        <color rgb="FF58585B"/>
        <rFont val="Arial"/>
        <family val="2"/>
      </rPr>
      <t>10.255</t>
    </r>
    <r>
      <rPr>
        <sz val="10"/>
        <color rgb="FF58585B"/>
        <rFont val="Arial"/>
        <family val="2"/>
      </rPr>
      <t xml:space="preserve">.255.254 </t>
    </r>
  </si>
  <si>
    <t>(65.536 sub-redes possíveis)</t>
  </si>
  <si>
    <t>(254 hosts possíveis por sub-rede)</t>
  </si>
  <si>
    <r>
      <t>10.0.0</t>
    </r>
    <r>
      <rPr>
        <sz val="10"/>
        <color rgb="FF58585B"/>
        <rFont val="Arial"/>
        <family val="2"/>
      </rPr>
      <t>.0</t>
    </r>
    <r>
      <rPr>
        <b/>
        <sz val="10"/>
        <color rgb="FF58585B"/>
        <rFont val="Arial"/>
        <family val="2"/>
      </rPr>
      <t>/24</t>
    </r>
  </si>
  <si>
    <r>
      <t>10.0.0</t>
    </r>
    <r>
      <rPr>
        <sz val="10"/>
        <color rgb="FF58585B"/>
        <rFont val="Arial"/>
        <family val="2"/>
      </rPr>
      <t>.1 - </t>
    </r>
    <r>
      <rPr>
        <b/>
        <sz val="10"/>
        <color rgb="FF58585B"/>
        <rFont val="Arial"/>
        <family val="2"/>
      </rPr>
      <t>10.0.0</t>
    </r>
    <r>
      <rPr>
        <sz val="10"/>
        <color rgb="FF58585B"/>
        <rFont val="Arial"/>
        <family val="2"/>
      </rPr>
      <t>.254</t>
    </r>
  </si>
  <si>
    <r>
      <t>10.0.0</t>
    </r>
    <r>
      <rPr>
        <sz val="10"/>
        <color rgb="FF58585B"/>
        <rFont val="Arial"/>
        <family val="2"/>
      </rPr>
      <t>.255</t>
    </r>
  </si>
  <si>
    <r>
      <t>10.0.1</t>
    </r>
    <r>
      <rPr>
        <sz val="10"/>
        <color rgb="FF58585B"/>
        <rFont val="Arial"/>
        <family val="2"/>
      </rPr>
      <t>.0</t>
    </r>
    <r>
      <rPr>
        <b/>
        <sz val="10"/>
        <color rgb="FF58585B"/>
        <rFont val="Arial"/>
        <family val="2"/>
      </rPr>
      <t>/24</t>
    </r>
  </si>
  <si>
    <r>
      <t>10.0.1</t>
    </r>
    <r>
      <rPr>
        <sz val="10"/>
        <color rgb="FF58585B"/>
        <rFont val="Arial"/>
        <family val="2"/>
      </rPr>
      <t xml:space="preserve">.1 - </t>
    </r>
    <r>
      <rPr>
        <b/>
        <sz val="10"/>
        <color rgb="FF58585B"/>
        <rFont val="Arial"/>
        <family val="2"/>
      </rPr>
      <t>10.0.1</t>
    </r>
    <r>
      <rPr>
        <sz val="10"/>
        <color rgb="FF58585B"/>
        <rFont val="Arial"/>
        <family val="2"/>
      </rPr>
      <t xml:space="preserve">.254 </t>
    </r>
  </si>
  <si>
    <r>
      <t>10.0.1</t>
    </r>
    <r>
      <rPr>
        <sz val="10"/>
        <color rgb="FF58585B"/>
        <rFont val="Arial"/>
        <family val="2"/>
      </rPr>
      <t>.255</t>
    </r>
  </si>
  <si>
    <r>
      <t>10.0.2</t>
    </r>
    <r>
      <rPr>
        <sz val="10"/>
        <color rgb="FF58585B"/>
        <rFont val="Arial"/>
        <family val="2"/>
      </rPr>
      <t>.0</t>
    </r>
    <r>
      <rPr>
        <b/>
        <sz val="10"/>
        <color rgb="FF58585B"/>
        <rFont val="Arial"/>
        <family val="2"/>
      </rPr>
      <t>/24</t>
    </r>
  </si>
  <si>
    <r>
      <t>10.0.2</t>
    </r>
    <r>
      <rPr>
        <sz val="10"/>
        <color rgb="FF58585B"/>
        <rFont val="Arial"/>
        <family val="2"/>
      </rPr>
      <t xml:space="preserve">.1 - </t>
    </r>
    <r>
      <rPr>
        <b/>
        <sz val="10"/>
        <color rgb="FF58585B"/>
        <rFont val="Arial"/>
        <family val="2"/>
      </rPr>
      <t>10.0.2</t>
    </r>
    <r>
      <rPr>
        <sz val="10"/>
        <color rgb="FF58585B"/>
        <rFont val="Arial"/>
        <family val="2"/>
      </rPr>
      <t xml:space="preserve">.254 </t>
    </r>
  </si>
  <si>
    <r>
      <t>10.0.2</t>
    </r>
    <r>
      <rPr>
        <sz val="10"/>
        <color rgb="FF58585B"/>
        <rFont val="Arial"/>
        <family val="2"/>
      </rPr>
      <t>.255</t>
    </r>
  </si>
  <si>
    <t>…</t>
  </si>
  <si>
    <r>
      <t>10.0.255</t>
    </r>
    <r>
      <rPr>
        <sz val="10"/>
        <color rgb="FF58585B"/>
        <rFont val="Arial"/>
        <family val="2"/>
      </rPr>
      <t>.0</t>
    </r>
    <r>
      <rPr>
        <b/>
        <sz val="10"/>
        <color rgb="FF58585B"/>
        <rFont val="Arial"/>
        <family val="2"/>
      </rPr>
      <t>/24</t>
    </r>
  </si>
  <si>
    <r>
      <t>10.0.255</t>
    </r>
    <r>
      <rPr>
        <sz val="10"/>
        <color rgb="FF58585B"/>
        <rFont val="Arial"/>
        <family val="2"/>
      </rPr>
      <t xml:space="preserve">.1 - </t>
    </r>
    <r>
      <rPr>
        <b/>
        <sz val="10"/>
        <color rgb="FF58585B"/>
        <rFont val="Arial"/>
        <family val="2"/>
      </rPr>
      <t>10.0.255</t>
    </r>
    <r>
      <rPr>
        <sz val="10"/>
        <color rgb="FF58585B"/>
        <rFont val="Arial"/>
        <family val="2"/>
      </rPr>
      <t xml:space="preserve">.254 </t>
    </r>
  </si>
  <si>
    <r>
      <t>10.0.255</t>
    </r>
    <r>
      <rPr>
        <sz val="10"/>
        <color rgb="FF58585B"/>
        <rFont val="Arial"/>
        <family val="2"/>
      </rPr>
      <t>.255</t>
    </r>
  </si>
  <si>
    <r>
      <t>10.1.0</t>
    </r>
    <r>
      <rPr>
        <sz val="10"/>
        <color rgb="FF58585B"/>
        <rFont val="Arial"/>
        <family val="2"/>
      </rPr>
      <t>.0</t>
    </r>
    <r>
      <rPr>
        <b/>
        <sz val="10"/>
        <color rgb="FF58585B"/>
        <rFont val="Arial"/>
        <family val="2"/>
      </rPr>
      <t>/24</t>
    </r>
  </si>
  <si>
    <r>
      <t>10.1.0</t>
    </r>
    <r>
      <rPr>
        <sz val="10"/>
        <color rgb="FF58585B"/>
        <rFont val="Arial"/>
        <family val="2"/>
      </rPr>
      <t xml:space="preserve">.1 - </t>
    </r>
    <r>
      <rPr>
        <b/>
        <sz val="10"/>
        <color rgb="FF58585B"/>
        <rFont val="Arial"/>
        <family val="2"/>
      </rPr>
      <t>10.1.0</t>
    </r>
    <r>
      <rPr>
        <sz val="10"/>
        <color rgb="FF58585B"/>
        <rFont val="Arial"/>
        <family val="2"/>
      </rPr>
      <t xml:space="preserve">.254 </t>
    </r>
  </si>
  <si>
    <r>
      <t>10.1.0</t>
    </r>
    <r>
      <rPr>
        <sz val="10"/>
        <color rgb="FF58585B"/>
        <rFont val="Arial"/>
        <family val="2"/>
      </rPr>
      <t>.255</t>
    </r>
  </si>
  <si>
    <r>
      <t>10.1.1</t>
    </r>
    <r>
      <rPr>
        <sz val="10"/>
        <color rgb="FF58585B"/>
        <rFont val="Arial"/>
        <family val="2"/>
      </rPr>
      <t>.0</t>
    </r>
    <r>
      <rPr>
        <b/>
        <sz val="10"/>
        <color rgb="FF58585B"/>
        <rFont val="Arial"/>
        <family val="2"/>
      </rPr>
      <t>/24</t>
    </r>
  </si>
  <si>
    <r>
      <t>10.1.1</t>
    </r>
    <r>
      <rPr>
        <sz val="10"/>
        <color rgb="FF58585B"/>
        <rFont val="Arial"/>
        <family val="2"/>
      </rPr>
      <t xml:space="preserve">.1 - </t>
    </r>
    <r>
      <rPr>
        <b/>
        <sz val="10"/>
        <color rgb="FF58585B"/>
        <rFont val="Arial"/>
        <family val="2"/>
      </rPr>
      <t>10.1.1</t>
    </r>
    <r>
      <rPr>
        <sz val="10"/>
        <color rgb="FF58585B"/>
        <rFont val="Arial"/>
        <family val="2"/>
      </rPr>
      <t xml:space="preserve">.254 </t>
    </r>
  </si>
  <si>
    <r>
      <t>10.1.1</t>
    </r>
    <r>
      <rPr>
        <sz val="10"/>
        <color rgb="FF58585B"/>
        <rFont val="Arial"/>
        <family val="2"/>
      </rPr>
      <t>.255</t>
    </r>
  </si>
  <si>
    <r>
      <t>10.1.2</t>
    </r>
    <r>
      <rPr>
        <sz val="10"/>
        <color rgb="FF58585B"/>
        <rFont val="Arial"/>
        <family val="2"/>
      </rPr>
      <t>.0</t>
    </r>
    <r>
      <rPr>
        <b/>
        <sz val="10"/>
        <color rgb="FF58585B"/>
        <rFont val="Arial"/>
        <family val="2"/>
      </rPr>
      <t>/24</t>
    </r>
  </si>
  <si>
    <r>
      <t>10.1.2</t>
    </r>
    <r>
      <rPr>
        <sz val="10"/>
        <color rgb="FF58585B"/>
        <rFont val="Arial"/>
        <family val="2"/>
      </rPr>
      <t xml:space="preserve">.1 - </t>
    </r>
    <r>
      <rPr>
        <b/>
        <sz val="10"/>
        <color rgb="FF58585B"/>
        <rFont val="Arial"/>
        <family val="2"/>
      </rPr>
      <t>10.1.2</t>
    </r>
    <r>
      <rPr>
        <sz val="10"/>
        <color rgb="FF58585B"/>
        <rFont val="Arial"/>
        <family val="2"/>
      </rPr>
      <t xml:space="preserve">.254 </t>
    </r>
  </si>
  <si>
    <r>
      <t>10.1.2</t>
    </r>
    <r>
      <rPr>
        <sz val="10"/>
        <color rgb="FF58585B"/>
        <rFont val="Arial"/>
        <family val="2"/>
      </rPr>
      <t>.255</t>
    </r>
  </si>
  <si>
    <r>
      <t>10.100.0</t>
    </r>
    <r>
      <rPr>
        <sz val="10"/>
        <color rgb="FF58585B"/>
        <rFont val="Arial"/>
        <family val="2"/>
      </rPr>
      <t>.0</t>
    </r>
    <r>
      <rPr>
        <b/>
        <sz val="10"/>
        <color rgb="FF58585B"/>
        <rFont val="Arial"/>
        <family val="2"/>
      </rPr>
      <t>/24</t>
    </r>
  </si>
  <si>
    <r>
      <t>10.100.0</t>
    </r>
    <r>
      <rPr>
        <sz val="10"/>
        <color rgb="FF58585B"/>
        <rFont val="Arial"/>
        <family val="2"/>
      </rPr>
      <t xml:space="preserve">.1 - </t>
    </r>
    <r>
      <rPr>
        <b/>
        <sz val="10"/>
        <color rgb="FF58585B"/>
        <rFont val="Arial"/>
        <family val="2"/>
      </rPr>
      <t>10.100.0</t>
    </r>
    <r>
      <rPr>
        <sz val="10"/>
        <color rgb="FF58585B"/>
        <rFont val="Arial"/>
        <family val="2"/>
      </rPr>
      <t xml:space="preserve">.254 </t>
    </r>
  </si>
  <si>
    <r>
      <t>10.100.0</t>
    </r>
    <r>
      <rPr>
        <sz val="10"/>
        <color rgb="FF58585B"/>
        <rFont val="Arial"/>
        <family val="2"/>
      </rPr>
      <t>.255</t>
    </r>
  </si>
  <si>
    <r>
      <t>10.255.255</t>
    </r>
    <r>
      <rPr>
        <sz val="10"/>
        <color rgb="FF58585B"/>
        <rFont val="Arial"/>
        <family val="2"/>
      </rPr>
      <t>.0</t>
    </r>
    <r>
      <rPr>
        <b/>
        <sz val="10"/>
        <color rgb="FF58585B"/>
        <rFont val="Arial"/>
        <family val="2"/>
      </rPr>
      <t>/24</t>
    </r>
  </si>
  <si>
    <r>
      <t>10.255.255</t>
    </r>
    <r>
      <rPr>
        <sz val="10"/>
        <color rgb="FF58585B"/>
        <rFont val="Arial"/>
        <family val="2"/>
      </rPr>
      <t xml:space="preserve">.1 - </t>
    </r>
    <r>
      <rPr>
        <b/>
        <sz val="10"/>
        <color rgb="FF58585B"/>
        <rFont val="Arial"/>
        <family val="2"/>
      </rPr>
      <t>10.2255.255</t>
    </r>
    <r>
      <rPr>
        <sz val="10"/>
        <color rgb="FF58585B"/>
        <rFont val="Arial"/>
        <family val="2"/>
      </rPr>
      <t xml:space="preserve">.254 </t>
    </r>
  </si>
  <si>
    <t>Quebrando uma Rede 10.0.0.0/8 em sub-redes usando /16 e na segunda tabela, uma máscara /24</t>
  </si>
  <si>
    <t>Máscara de Sub-Rede em Binário</t>
  </si>
  <si>
    <t>(n = rede, h = host)</t>
  </si>
  <si>
    <t>Nº de subredes</t>
  </si>
  <si>
    <r>
      <t>nnnnnnnn.nnnnnnnn.nnnnnnnn.</t>
    </r>
    <r>
      <rPr>
        <b/>
        <sz val="10"/>
        <color rgb="FF58585B"/>
        <rFont val="Courier New"/>
        <family val="3"/>
      </rPr>
      <t>n</t>
    </r>
    <r>
      <rPr>
        <sz val="10"/>
        <color rgb="FF58585B"/>
        <rFont val="Courier New"/>
        <family val="3"/>
      </rPr>
      <t>hhhhhhh</t>
    </r>
  </si>
  <si>
    <r>
      <t>nnnnnnnn.nnnnnnnn.nnnnnnnn.</t>
    </r>
    <r>
      <rPr>
        <b/>
        <sz val="10"/>
        <color rgb="FF58585B"/>
        <rFont val="Courier New"/>
        <family val="3"/>
      </rPr>
      <t>nn</t>
    </r>
    <r>
      <rPr>
        <sz val="10"/>
        <color rgb="FF58585B"/>
        <rFont val="Courier New"/>
        <family val="3"/>
      </rPr>
      <t>hhhhhh</t>
    </r>
  </si>
  <si>
    <r>
      <t>nnnnnnnn.nnnnnnnn.nnnnnnnn.</t>
    </r>
    <r>
      <rPr>
        <b/>
        <sz val="10"/>
        <color rgb="FF58585B"/>
        <rFont val="Courier New"/>
        <family val="3"/>
      </rPr>
      <t>nnn</t>
    </r>
    <r>
      <rPr>
        <sz val="10"/>
        <color rgb="FF58585B"/>
        <rFont val="Courier New"/>
        <family val="3"/>
      </rPr>
      <t>hhhhh</t>
    </r>
  </si>
  <si>
    <r>
      <t>nnnnnnnn.nnnnnnnn.nnnnnnnn.</t>
    </r>
    <r>
      <rPr>
        <b/>
        <sz val="10"/>
        <color rgb="FF58585B"/>
        <rFont val="Courier New"/>
        <family val="3"/>
      </rPr>
      <t>nnnn</t>
    </r>
    <r>
      <rPr>
        <sz val="10"/>
        <color rgb="FF58585B"/>
        <rFont val="Courier New"/>
        <family val="3"/>
      </rPr>
      <t>hhhh</t>
    </r>
  </si>
  <si>
    <r>
      <t>nnnnnnnn.nnnnnnnn.nnnnnnnn.</t>
    </r>
    <r>
      <rPr>
        <b/>
        <sz val="10"/>
        <color rgb="FF58585B"/>
        <rFont val="Courier New"/>
        <family val="3"/>
      </rPr>
      <t>nnnnn</t>
    </r>
    <r>
      <rPr>
        <sz val="10"/>
        <color rgb="FF58585B"/>
        <rFont val="Courier New"/>
        <family val="3"/>
      </rPr>
      <t>hhh</t>
    </r>
  </si>
  <si>
    <r>
      <t>nnnnnnnn.nnnnnnnn.nnnnnnnn.</t>
    </r>
    <r>
      <rPr>
        <b/>
        <sz val="10"/>
        <color rgb="FF58585B"/>
        <rFont val="Courier New"/>
        <family val="3"/>
      </rPr>
      <t>nnnnnn</t>
    </r>
    <r>
      <rPr>
        <sz val="10"/>
        <color rgb="FF58585B"/>
        <rFont val="Courier New"/>
        <family val="3"/>
      </rPr>
      <t>hh</t>
    </r>
  </si>
  <si>
    <t>Endereço de rede (n = rede, h = host)</t>
  </si>
  <si>
    <t>/17</t>
  </si>
  <si>
    <r>
      <t>255.255.</t>
    </r>
    <r>
      <rPr>
        <b/>
        <sz val="8"/>
        <color rgb="FF58585B"/>
        <rFont val="Arial"/>
        <family val="2"/>
      </rPr>
      <t>128</t>
    </r>
    <r>
      <rPr>
        <sz val="8"/>
        <color rgb="FF58585B"/>
        <rFont val="Arial"/>
        <family val="2"/>
      </rPr>
      <t>.0</t>
    </r>
  </si>
  <si>
    <r>
      <t>nnnnnnnn.nnnnnnnn.</t>
    </r>
    <r>
      <rPr>
        <b/>
        <sz val="8"/>
        <color rgb="FF58585B"/>
        <rFont val="Courier New"/>
        <family val="3"/>
      </rPr>
      <t>n</t>
    </r>
    <r>
      <rPr>
        <sz val="8"/>
        <color rgb="FF58585B"/>
        <rFont val="Courier New"/>
        <family val="3"/>
      </rPr>
      <t xml:space="preserve">hhhhhhh.hhhhhhhh </t>
    </r>
  </si>
  <si>
    <t>/18</t>
  </si>
  <si>
    <r>
      <t>255.255.</t>
    </r>
    <r>
      <rPr>
        <b/>
        <sz val="8"/>
        <color rgb="FF58585B"/>
        <rFont val="Arial"/>
        <family val="2"/>
      </rPr>
      <t>192</t>
    </r>
    <r>
      <rPr>
        <sz val="8"/>
        <color rgb="FF58585B"/>
        <rFont val="Arial"/>
        <family val="2"/>
      </rPr>
      <t>.0</t>
    </r>
  </si>
  <si>
    <r>
      <t xml:space="preserve">nnnnnnnn.nnnnnnn. </t>
    </r>
    <r>
      <rPr>
        <b/>
        <sz val="8"/>
        <color rgb="FF58585B"/>
        <rFont val="Courier New"/>
        <family val="3"/>
      </rPr>
      <t>nn</t>
    </r>
    <r>
      <rPr>
        <sz val="8"/>
        <color rgb="FF58585B"/>
        <rFont val="Courier New"/>
        <family val="3"/>
      </rPr>
      <t xml:space="preserve">hhhhhhhhhhhhhh </t>
    </r>
  </si>
  <si>
    <t>/19</t>
  </si>
  <si>
    <r>
      <t>255.255.</t>
    </r>
    <r>
      <rPr>
        <b/>
        <sz val="8"/>
        <color rgb="FF58585B"/>
        <rFont val="Arial"/>
        <family val="2"/>
      </rPr>
      <t>224</t>
    </r>
    <r>
      <rPr>
        <sz val="8"/>
        <color rgb="FF58585B"/>
        <rFont val="Arial"/>
        <family val="2"/>
      </rPr>
      <t>.0</t>
    </r>
  </si>
  <si>
    <r>
      <t xml:space="preserve">nnnnnnnn.nnnnnnn. </t>
    </r>
    <r>
      <rPr>
        <b/>
        <sz val="8"/>
        <color rgb="FF58585B"/>
        <rFont val="Courier New"/>
        <family val="3"/>
      </rPr>
      <t>nnn</t>
    </r>
    <r>
      <rPr>
        <sz val="8"/>
        <color rgb="FF58585B"/>
        <rFont val="Courier New"/>
        <family val="3"/>
      </rPr>
      <t xml:space="preserve">hhhhhhhhhhhh </t>
    </r>
  </si>
  <si>
    <t>/20</t>
  </si>
  <si>
    <r>
      <t>255.255.</t>
    </r>
    <r>
      <rPr>
        <b/>
        <sz val="8"/>
        <color rgb="FF58585B"/>
        <rFont val="Arial"/>
        <family val="2"/>
      </rPr>
      <t>240</t>
    </r>
    <r>
      <rPr>
        <sz val="8"/>
        <color rgb="FF58585B"/>
        <rFont val="Arial"/>
        <family val="2"/>
      </rPr>
      <t>.0</t>
    </r>
  </si>
  <si>
    <r>
      <t xml:space="preserve">nnnnnnnn.nnnnnnn. </t>
    </r>
    <r>
      <rPr>
        <b/>
        <sz val="8"/>
        <color rgb="FF58585B"/>
        <rFont val="Courier New"/>
        <family val="3"/>
      </rPr>
      <t>nnnn</t>
    </r>
    <r>
      <rPr>
        <sz val="8"/>
        <color rgb="FF58585B"/>
        <rFont val="Courier New"/>
        <family val="3"/>
      </rPr>
      <t xml:space="preserve">hhhhhhhhhhhh </t>
    </r>
  </si>
  <si>
    <t>/21</t>
  </si>
  <si>
    <r>
      <t>255.255.</t>
    </r>
    <r>
      <rPr>
        <b/>
        <sz val="8"/>
        <color rgb="FF58585B"/>
        <rFont val="Arial"/>
        <family val="2"/>
      </rPr>
      <t>248</t>
    </r>
    <r>
      <rPr>
        <sz val="8"/>
        <color rgb="FF58585B"/>
        <rFont val="Arial"/>
        <family val="2"/>
      </rPr>
      <t>.0</t>
    </r>
  </si>
  <si>
    <r>
      <t xml:space="preserve">nnnnnnnn.nnnnnnn. </t>
    </r>
    <r>
      <rPr>
        <b/>
        <sz val="8"/>
        <color rgb="FF58585B"/>
        <rFont val="Courier New"/>
        <family val="3"/>
      </rPr>
      <t>nnnnn</t>
    </r>
    <r>
      <rPr>
        <sz val="8"/>
        <color rgb="FF58585B"/>
        <rFont val="Courier New"/>
        <family val="3"/>
      </rPr>
      <t xml:space="preserve">hhh.hhhhhhhh </t>
    </r>
  </si>
  <si>
    <t>/22</t>
  </si>
  <si>
    <r>
      <t>255.255.</t>
    </r>
    <r>
      <rPr>
        <b/>
        <sz val="8"/>
        <color rgb="FF58585B"/>
        <rFont val="Arial"/>
        <family val="2"/>
      </rPr>
      <t>252</t>
    </r>
    <r>
      <rPr>
        <sz val="8"/>
        <color rgb="FF58585B"/>
        <rFont val="Arial"/>
        <family val="2"/>
      </rPr>
      <t>.0</t>
    </r>
  </si>
  <si>
    <r>
      <t xml:space="preserve">nnnnnnnn.nnnnnnn. </t>
    </r>
    <r>
      <rPr>
        <b/>
        <sz val="8"/>
        <color rgb="FF58585B"/>
        <rFont val="Courier New"/>
        <family val="3"/>
      </rPr>
      <t>nnnnnn</t>
    </r>
    <r>
      <rPr>
        <sz val="8"/>
        <color rgb="FF58585B"/>
        <rFont val="Courier New"/>
        <family val="3"/>
      </rPr>
      <t xml:space="preserve">hh.hhhhhhhh </t>
    </r>
  </si>
  <si>
    <t>/23</t>
  </si>
  <si>
    <r>
      <t>255.255.</t>
    </r>
    <r>
      <rPr>
        <b/>
        <sz val="8"/>
        <color rgb="FF58585B"/>
        <rFont val="Arial"/>
        <family val="2"/>
      </rPr>
      <t>254</t>
    </r>
    <r>
      <rPr>
        <sz val="8"/>
        <color rgb="FF58585B"/>
        <rFont val="Arial"/>
        <family val="2"/>
      </rPr>
      <t>.0</t>
    </r>
  </si>
  <si>
    <r>
      <t xml:space="preserve">nnnnnnnn.nnnnnnn. </t>
    </r>
    <r>
      <rPr>
        <b/>
        <sz val="8"/>
        <color rgb="FF58585B"/>
        <rFont val="Courier New"/>
        <family val="3"/>
      </rPr>
      <t>nnnnnn</t>
    </r>
    <r>
      <rPr>
        <sz val="8"/>
        <color rgb="FF58585B"/>
        <rFont val="Courier New"/>
        <family val="3"/>
      </rPr>
      <t xml:space="preserve">h.hhhhhhhh </t>
    </r>
  </si>
  <si>
    <r>
      <t>255.255.</t>
    </r>
    <r>
      <rPr>
        <b/>
        <sz val="8"/>
        <color rgb="FF58585B"/>
        <rFont val="Arial"/>
        <family val="2"/>
      </rPr>
      <t>255</t>
    </r>
    <r>
      <rPr>
        <sz val="8"/>
        <color rgb="FF58585B"/>
        <rFont val="Arial"/>
        <family val="2"/>
      </rPr>
      <t>.</t>
    </r>
    <r>
      <rPr>
        <b/>
        <sz val="8"/>
        <color rgb="FF58585B"/>
        <rFont val="Arial"/>
        <family val="2"/>
      </rPr>
      <t>0</t>
    </r>
  </si>
  <si>
    <r>
      <t xml:space="preserve">nnnnnnnn.nnnnnnn. </t>
    </r>
    <r>
      <rPr>
        <b/>
        <sz val="8"/>
        <color rgb="FF58585B"/>
        <rFont val="Courier New"/>
        <family val="3"/>
      </rPr>
      <t>nnnnnnnn</t>
    </r>
    <r>
      <rPr>
        <sz val="8"/>
        <color rgb="FF58585B"/>
        <rFont val="Courier New"/>
        <family val="3"/>
      </rPr>
      <t xml:space="preserve">.hhhhhhhh </t>
    </r>
  </si>
  <si>
    <r>
      <t xml:space="preserve">nnnnnnnn.nnnnnnn. </t>
    </r>
    <r>
      <rPr>
        <b/>
        <sz val="8"/>
        <color rgb="FF58585B"/>
        <rFont val="Courier New"/>
        <family val="3"/>
      </rPr>
      <t>nnnnnnn.n</t>
    </r>
    <r>
      <rPr>
        <sz val="8"/>
        <color rgb="FF58585B"/>
        <rFont val="Courier New"/>
        <family val="3"/>
      </rPr>
      <t xml:space="preserve">hhhhhhh </t>
    </r>
  </si>
  <si>
    <r>
      <t xml:space="preserve">nnnnnnnn.nnnnnnn. </t>
    </r>
    <r>
      <rPr>
        <b/>
        <sz val="8"/>
        <color rgb="FF58585B"/>
        <rFont val="Courier New"/>
        <family val="3"/>
      </rPr>
      <t>nnnnnnnn.nn</t>
    </r>
    <r>
      <rPr>
        <sz val="8"/>
        <color rgb="FF58585B"/>
        <rFont val="Courier New"/>
        <family val="3"/>
      </rPr>
      <t xml:space="preserve">hhhhhh </t>
    </r>
  </si>
  <si>
    <r>
      <t xml:space="preserve">nnnnnnnn.nnnnnnn. </t>
    </r>
    <r>
      <rPr>
        <b/>
        <sz val="8"/>
        <color rgb="FF58585B"/>
        <rFont val="Courier New"/>
        <family val="3"/>
      </rPr>
      <t>nnnnnnnn.nnn</t>
    </r>
    <r>
      <rPr>
        <sz val="8"/>
        <color rgb="FF58585B"/>
        <rFont val="Courier New"/>
        <family val="3"/>
      </rPr>
      <t xml:space="preserve">hhhhh </t>
    </r>
  </si>
  <si>
    <r>
      <t>255.255</t>
    </r>
    <r>
      <rPr>
        <b/>
        <sz val="8"/>
        <color rgb="FF58585B"/>
        <rFont val="Arial"/>
        <family val="2"/>
      </rPr>
      <t>.255. 240</t>
    </r>
  </si>
  <si>
    <r>
      <t xml:space="preserve">nnnnnnnn.nnnnnnn. </t>
    </r>
    <r>
      <rPr>
        <b/>
        <sz val="8"/>
        <color rgb="FF58585B"/>
        <rFont val="Courier New"/>
        <family val="3"/>
      </rPr>
      <t>nnnnnnnn.nnnn</t>
    </r>
    <r>
      <rPr>
        <sz val="8"/>
        <color rgb="FF58585B"/>
        <rFont val="Courier New"/>
        <family val="3"/>
      </rPr>
      <t xml:space="preserve">hhhh </t>
    </r>
  </si>
  <si>
    <r>
      <t xml:space="preserve">nnnnnnnn.nnnnnnn. </t>
    </r>
    <r>
      <rPr>
        <b/>
        <sz val="8"/>
        <color rgb="FF58585B"/>
        <rFont val="Courier New"/>
        <family val="3"/>
      </rPr>
      <t>nnnnnnnn.nnnnn</t>
    </r>
    <r>
      <rPr>
        <sz val="8"/>
        <color rgb="FF58585B"/>
        <rFont val="Courier New"/>
        <family val="3"/>
      </rPr>
      <t xml:space="preserve">hhh </t>
    </r>
  </si>
  <si>
    <r>
      <t xml:space="preserve">nnnnnnnn.nnnnnnn. </t>
    </r>
    <r>
      <rPr>
        <b/>
        <sz val="8"/>
        <color rgb="FF58585B"/>
        <rFont val="Courier New"/>
        <family val="3"/>
      </rPr>
      <t>nnnnnnnn.nnnnnn</t>
    </r>
    <r>
      <rPr>
        <sz val="8"/>
        <color rgb="FF58585B"/>
        <rFont val="Courier New"/>
        <family val="3"/>
      </rPr>
      <t xml:space="preserve">hh </t>
    </r>
  </si>
  <si>
    <t>A tabela destaca todos os cenários possíveis para a sub-rede de um prefixo /16.</t>
  </si>
  <si>
    <t xml:space="preserve">Há duas considerações no planejamento de sub-redes: </t>
  </si>
  <si>
    <r>
      <t>•</t>
    </r>
    <r>
      <rPr>
        <b/>
        <sz val="16"/>
        <color rgb="FF000000"/>
        <rFont val="Arial"/>
        <family val="2"/>
      </rPr>
      <t xml:space="preserve">O número de endereços de host necessários para cada rede </t>
    </r>
  </si>
  <si>
    <r>
      <t>•</t>
    </r>
    <r>
      <rPr>
        <b/>
        <sz val="16"/>
        <color rgb="FF000000"/>
        <rFont val="Arial"/>
        <family val="2"/>
      </rPr>
      <t>O número de sub-redes individuais necessárias</t>
    </r>
  </si>
  <si>
    <t>8 Bitis</t>
  </si>
  <si>
    <t>11111111</t>
  </si>
  <si>
    <t>2^8</t>
  </si>
  <si>
    <t>hosts</t>
  </si>
  <si>
    <t>=</t>
  </si>
  <si>
    <t>Host</t>
  </si>
  <si>
    <t>Trabalhando com Sub-Redes e Hosts</t>
  </si>
  <si>
    <t>2^7</t>
  </si>
  <si>
    <t>Exp.</t>
  </si>
  <si>
    <t>Redes</t>
  </si>
  <si>
    <t>Hosts</t>
  </si>
  <si>
    <t>172.16.0.0</t>
  </si>
  <si>
    <t>172.16.0.1</t>
  </si>
  <si>
    <t>172.16.0.2</t>
  </si>
  <si>
    <t>172.16.0.10</t>
  </si>
  <si>
    <t>Rede 1</t>
  </si>
  <si>
    <t>Rede 2</t>
  </si>
  <si>
    <t>Rede 3</t>
  </si>
  <si>
    <t>Rede 4</t>
  </si>
  <si>
    <t>Rede 5</t>
  </si>
  <si>
    <t>192,168.2.0</t>
  </si>
  <si>
    <t>192.168.2.127</t>
  </si>
  <si>
    <t>192,168.2.1 a 126</t>
  </si>
  <si>
    <t>Total</t>
  </si>
  <si>
    <t>Bists para red</t>
  </si>
  <si>
    <t>172.16.3.255</t>
  </si>
  <si>
    <t>172.16.3.254</t>
  </si>
  <si>
    <t>172.16.4.0</t>
  </si>
  <si>
    <t>172.16.4.1</t>
  </si>
  <si>
    <t>172.16.7.254</t>
  </si>
  <si>
    <t>172.16.7.255</t>
  </si>
  <si>
    <t>Rede 2 = /25</t>
  </si>
  <si>
    <t>172.16.4.126</t>
  </si>
  <si>
    <t>172.16.4.127</t>
  </si>
  <si>
    <t>Rede 3 = /26</t>
  </si>
  <si>
    <t>172.16.4.128</t>
  </si>
  <si>
    <t>172.16.4.129</t>
  </si>
  <si>
    <t>172.16.4.190</t>
  </si>
  <si>
    <t>172.16.4.191</t>
  </si>
  <si>
    <t>Máscara</t>
  </si>
  <si>
    <t>Cálculo de Máscara por Host</t>
  </si>
  <si>
    <t>Total de Hosts a Serem Utilizados</t>
  </si>
  <si>
    <r>
      <rPr>
        <sz val="11"/>
        <color rgb="FFFF0000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000000</t>
    </r>
  </si>
  <si>
    <t>Rede 6</t>
  </si>
  <si>
    <t>Rede 9</t>
  </si>
  <si>
    <t>Rede 10</t>
  </si>
  <si>
    <t>Rede 1 = 255.255.255.128</t>
  </si>
  <si>
    <t>Rede 4 = /26</t>
  </si>
  <si>
    <t>172.16.4.192</t>
  </si>
  <si>
    <t>172.16.4.193</t>
  </si>
  <si>
    <t>172.16.4.254</t>
  </si>
  <si>
    <t>172.16.4.255</t>
  </si>
  <si>
    <t>Rede 1 - 192.168.133.128/25</t>
  </si>
  <si>
    <r>
      <t xml:space="preserve">      Ø</t>
    </r>
    <r>
      <rPr>
        <sz val="7"/>
        <color rgb="FFFF0000"/>
        <rFont val="Times New Roman"/>
        <family val="1"/>
      </rPr>
      <t xml:space="preserve">  </t>
    </r>
    <r>
      <rPr>
        <b/>
        <sz val="12"/>
        <color rgb="FFFF0000"/>
        <rFont val="Times New Roman"/>
        <family val="1"/>
      </rPr>
      <t>3.andar: 120 pontos;</t>
    </r>
  </si>
  <si>
    <t>ADM-1Andar</t>
  </si>
  <si>
    <t>ADM-2Andar</t>
  </si>
  <si>
    <t>ADM-3Andar</t>
  </si>
  <si>
    <t>UNID-IND-I-FAB</t>
  </si>
  <si>
    <t>UNID-IND-I-ESC</t>
  </si>
  <si>
    <t>UNID-IND-II-FAB</t>
  </si>
  <si>
    <t>UNID-IND-II-ESC</t>
  </si>
  <si>
    <t>UNID-ESC-PROD-ESC</t>
  </si>
  <si>
    <t>UNID-ESC-PROD-FAB</t>
  </si>
  <si>
    <t>PORTARIA</t>
  </si>
  <si>
    <t>WAN VRxSP</t>
  </si>
  <si>
    <t>Link VR x SP</t>
  </si>
  <si>
    <t>LAN SP</t>
  </si>
  <si>
    <t>WAN VRxRJ</t>
  </si>
  <si>
    <t>Link VR x RJ</t>
  </si>
  <si>
    <t>LAN RJ</t>
  </si>
  <si>
    <t>WAN VRxPR</t>
  </si>
  <si>
    <t>Link VR x PR</t>
  </si>
  <si>
    <t>LAN PR</t>
  </si>
  <si>
    <t>WAN VRxPE</t>
  </si>
  <si>
    <t>Link VR x PE</t>
  </si>
  <si>
    <t>LAN PE</t>
  </si>
  <si>
    <t>WAN VRxBH</t>
  </si>
  <si>
    <t>Link VR x BH</t>
  </si>
  <si>
    <t>LAN BH</t>
  </si>
  <si>
    <t>WAN VRxBA</t>
  </si>
  <si>
    <t>Link VR x BA</t>
  </si>
  <si>
    <t>LAN BA</t>
  </si>
  <si>
    <t>WAN VRxRS</t>
  </si>
  <si>
    <t>Link VR x RS</t>
  </si>
  <si>
    <t>LAN RS</t>
  </si>
  <si>
    <t>Descrição Projeto</t>
  </si>
  <si>
    <t>Projeto Rede CCNA 1</t>
  </si>
  <si>
    <t>209.165.76.201</t>
  </si>
  <si>
    <t>11010001.10100101.01001100.11001001</t>
  </si>
  <si>
    <t>172.16.0.25</t>
  </si>
  <si>
    <t>172.16.0.50</t>
  </si>
  <si>
    <t>172.16.0.62</t>
  </si>
  <si>
    <t>172.16.0.63</t>
  </si>
  <si>
    <t xml:space="preserve">Rede 2 </t>
  </si>
  <si>
    <t>172.16.0.64</t>
  </si>
  <si>
    <t>172.16.0.65</t>
  </si>
  <si>
    <t>172.16.0.70</t>
  </si>
  <si>
    <t>172.16.0.85</t>
  </si>
  <si>
    <t>172.16.0.100</t>
  </si>
  <si>
    <t>172.16.0.110</t>
  </si>
  <si>
    <t>172.16.0.126</t>
  </si>
  <si>
    <t>172.16.0.127</t>
  </si>
  <si>
    <t>172.16.0.128</t>
  </si>
  <si>
    <t>172.16.0.129</t>
  </si>
  <si>
    <t>172.16.0.140</t>
  </si>
  <si>
    <t>172.16.0.150</t>
  </si>
  <si>
    <t>172.16.0.160</t>
  </si>
  <si>
    <t>172.16.0.185</t>
  </si>
  <si>
    <t>172.16.0.190</t>
  </si>
  <si>
    <t>172.16.0.191</t>
  </si>
  <si>
    <t>172.16.0.192</t>
  </si>
  <si>
    <t>172.16.0.193</t>
  </si>
  <si>
    <t>172.16.0.200</t>
  </si>
  <si>
    <t>172.16.0.220</t>
  </si>
  <si>
    <t>172.16.0.242</t>
  </si>
  <si>
    <t>172.16.0.250</t>
  </si>
  <si>
    <t>172.16.0.254</t>
  </si>
  <si>
    <t>172.16.0.255</t>
  </si>
  <si>
    <r>
      <rPr>
        <sz val="11"/>
        <color rgb="FF00B050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000000</t>
    </r>
  </si>
  <si>
    <r>
      <t>1111111</t>
    </r>
    <r>
      <rPr>
        <sz val="11"/>
        <color rgb="FF00B050"/>
        <rFont val="Calibri"/>
        <family val="2"/>
        <scheme val="minor"/>
      </rPr>
      <t>1</t>
    </r>
  </si>
  <si>
    <t>172.16.1.0</t>
  </si>
  <si>
    <t>172.16.1.1</t>
  </si>
  <si>
    <t>172.16.1.2</t>
  </si>
  <si>
    <t>172.16.1.20</t>
  </si>
  <si>
    <t>172.16.1.38</t>
  </si>
  <si>
    <t>172.16.1.60</t>
  </si>
  <si>
    <t>172.16.1.62</t>
  </si>
  <si>
    <t>172.16.1.63</t>
  </si>
  <si>
    <t>172.16.1.64</t>
  </si>
  <si>
    <t>172.16.1.65</t>
  </si>
  <si>
    <t>172.16.1.70</t>
  </si>
  <si>
    <t>172.16.1.85</t>
  </si>
  <si>
    <t>172.16.1.100</t>
  </si>
  <si>
    <t>172.16.1.110</t>
  </si>
  <si>
    <t>172.16.1.126</t>
  </si>
  <si>
    <t>172.16.1.127</t>
  </si>
  <si>
    <t>172.16.1.0/24</t>
  </si>
  <si>
    <t>172.16.1.254</t>
  </si>
  <si>
    <t>172.16.1.255</t>
  </si>
  <si>
    <t>172.16.2.0/24</t>
  </si>
  <si>
    <t>172.16.2.1</t>
  </si>
  <si>
    <t>172.16.2.254</t>
  </si>
  <si>
    <t>172.16.2.255</t>
  </si>
  <si>
    <t>172.16.3.0/24</t>
  </si>
  <si>
    <t>172.16.3.1</t>
  </si>
  <si>
    <t>192.168.0.0/30</t>
  </si>
  <si>
    <t>192.168.0.1</t>
  </si>
  <si>
    <t>192.168.0.2</t>
  </si>
  <si>
    <t>192.168.0.3</t>
  </si>
  <si>
    <t>-</t>
  </si>
  <si>
    <t>172.17.1.0/24</t>
  </si>
  <si>
    <t>172.17.1.1</t>
  </si>
  <si>
    <t>172.17.1.254</t>
  </si>
  <si>
    <t>172.17.1.255</t>
  </si>
  <si>
    <t>192.168.0.4/30</t>
  </si>
  <si>
    <t>192.168.0.5</t>
  </si>
  <si>
    <t>192.168.0.6</t>
  </si>
  <si>
    <t>192.168.0.7</t>
  </si>
  <si>
    <t>172.18.1.0/24</t>
  </si>
  <si>
    <t>172.18.1.1</t>
  </si>
  <si>
    <t>172.18.1.254</t>
  </si>
  <si>
    <t>172.18.1.255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</si>
</sst>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name val="Arial"/>
      <family val="2"/>
    </font>
    <font>
      <b/>
      <sz val="10.5"/>
      <color rgb="FFFFFFFF"/>
      <name val="Arial"/>
      <family val="2"/>
    </font>
    <font>
      <sz val="10"/>
      <color rgb="FF58585B"/>
      <name val="Arial"/>
      <family val="2"/>
    </font>
    <font>
      <b/>
      <sz val="10"/>
      <color rgb="FF58585B"/>
      <name val="Arial"/>
      <family val="2"/>
    </font>
    <font>
      <sz val="10"/>
      <color rgb="FF58585B"/>
      <name val="Courier New"/>
      <family val="3"/>
    </font>
    <font>
      <b/>
      <sz val="11"/>
      <color rgb="FFFFFFFF"/>
      <name val="Arial"/>
      <family val="2"/>
    </font>
    <font>
      <sz val="11"/>
      <color rgb="FF58585B"/>
      <name val="Arial"/>
      <family val="2"/>
    </font>
    <font>
      <sz val="10"/>
      <color rgb="FF000000"/>
      <name val="Arial"/>
      <family val="2"/>
    </font>
    <font>
      <b/>
      <sz val="11"/>
      <color rgb="FF58585B"/>
      <name val="Arial"/>
      <family val="2"/>
    </font>
    <font>
      <b/>
      <sz val="11"/>
      <color rgb="FF58585B"/>
      <name val="Courier New"/>
      <family val="3"/>
    </font>
    <font>
      <sz val="11"/>
      <color rgb="FF58585B"/>
      <name val="Courier New"/>
      <family val="3"/>
    </font>
    <font>
      <b/>
      <i/>
      <u/>
      <sz val="12"/>
      <color theme="1"/>
      <name val="Times New Roman"/>
      <family val="1"/>
    </font>
    <font>
      <sz val="12"/>
      <color theme="1"/>
      <name val="Symbol"/>
      <family val="1"/>
      <charset val="2"/>
    </font>
    <font>
      <sz val="7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Wingdings"/>
      <charset val="2"/>
    </font>
    <font>
      <b/>
      <i/>
      <sz val="7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6"/>
      <color rgb="FF000000"/>
      <name val="Arial"/>
      <family val="2"/>
    </font>
    <font>
      <b/>
      <sz val="10"/>
      <color rgb="FF58585B"/>
      <name val="Courier New"/>
      <family val="3"/>
    </font>
    <font>
      <b/>
      <sz val="8"/>
      <color rgb="FFFFFFFF"/>
      <name val="Arial"/>
      <family val="2"/>
    </font>
    <font>
      <sz val="8"/>
      <color rgb="FF58585B"/>
      <name val="Arial"/>
      <family val="2"/>
    </font>
    <font>
      <b/>
      <sz val="8"/>
      <color rgb="FF58585B"/>
      <name val="Arial"/>
      <family val="2"/>
    </font>
    <font>
      <sz val="8"/>
      <color rgb="FF58585B"/>
      <name val="Courier New"/>
      <family val="3"/>
    </font>
    <font>
      <b/>
      <sz val="8"/>
      <color rgb="FF58585B"/>
      <name val="Courier New"/>
      <family val="3"/>
    </font>
    <font>
      <sz val="16"/>
      <color theme="1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6"/>
      <color rgb="FF000000"/>
      <name val="Arial"/>
      <family val="2"/>
    </font>
    <font>
      <sz val="12"/>
      <color rgb="FFFF0000"/>
      <name val="Wingdings"/>
      <charset val="2"/>
    </font>
    <font>
      <sz val="7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color rgb="FF00B050"/>
      <name val="Calibri"/>
      <family val="2"/>
      <scheme val="minor"/>
    </font>
    <font>
      <sz val="36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4C69"/>
        <bgColor indexed="64"/>
      </patternFill>
    </fill>
    <fill>
      <patternFill patternType="solid">
        <fgColor rgb="FFCBD0D4"/>
        <bgColor indexed="64"/>
      </patternFill>
    </fill>
    <fill>
      <patternFill patternType="solid">
        <fgColor rgb="FFE7E9E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34" fillId="0" borderId="0" applyFont="0" applyFill="0" applyBorder="0" applyAlignment="0" applyProtection="0"/>
    <xf numFmtId="0" fontId="34" fillId="0" borderId="0"/>
  </cellStyleXfs>
  <cellXfs count="2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0" fontId="3" fillId="0" borderId="1" xfId="0" applyFont="1" applyBorder="1"/>
    <xf numFmtId="3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3" fontId="1" fillId="0" borderId="0" xfId="0" applyNumberFormat="1" applyFont="1"/>
    <xf numFmtId="0" fontId="3" fillId="0" borderId="0" xfId="0" applyFont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5" fillId="3" borderId="6" xfId="0" applyFont="1" applyFill="1" applyBorder="1" applyAlignment="1">
      <alignment horizontal="left" vertical="center" wrapText="1" readingOrder="1"/>
    </xf>
    <xf numFmtId="0" fontId="5" fillId="3" borderId="7" xfId="0" applyFont="1" applyFill="1" applyBorder="1" applyAlignment="1">
      <alignment horizontal="left" vertical="center" wrapText="1" readingOrder="1"/>
    </xf>
    <xf numFmtId="0" fontId="6" fillId="4" borderId="8" xfId="0" applyFont="1" applyFill="1" applyBorder="1" applyAlignment="1">
      <alignment horizontal="left" vertical="center" wrapText="1" readingOrder="1"/>
    </xf>
    <xf numFmtId="3" fontId="6" fillId="4" borderId="8" xfId="0" applyNumberFormat="1" applyFont="1" applyFill="1" applyBorder="1" applyAlignment="1">
      <alignment horizontal="left" vertical="center" wrapText="1" readingOrder="1"/>
    </xf>
    <xf numFmtId="0" fontId="6" fillId="5" borderId="9" xfId="0" applyFont="1" applyFill="1" applyBorder="1" applyAlignment="1">
      <alignment horizontal="left" vertical="center" wrapText="1" readingOrder="1"/>
    </xf>
    <xf numFmtId="3" fontId="6" fillId="5" borderId="9" xfId="0" applyNumberFormat="1" applyFont="1" applyFill="1" applyBorder="1" applyAlignment="1">
      <alignment horizontal="left" vertical="center" wrapText="1" readingOrder="1"/>
    </xf>
    <xf numFmtId="0" fontId="6" fillId="4" borderId="9" xfId="0" applyFont="1" applyFill="1" applyBorder="1" applyAlignment="1">
      <alignment horizontal="left" vertical="center" wrapText="1" readingOrder="1"/>
    </xf>
    <xf numFmtId="3" fontId="6" fillId="4" borderId="9" xfId="0" applyNumberFormat="1" applyFont="1" applyFill="1" applyBorder="1" applyAlignment="1">
      <alignment horizontal="left" vertical="center" wrapText="1" readingOrder="1"/>
    </xf>
    <xf numFmtId="0" fontId="4" fillId="0" borderId="5" xfId="0" applyFont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4" borderId="10" xfId="0" applyFont="1" applyFill="1" applyBorder="1" applyAlignment="1">
      <alignment horizontal="left" vertical="center" wrapText="1" readingOrder="1"/>
    </xf>
    <xf numFmtId="0" fontId="7" fillId="4" borderId="11" xfId="0" applyFont="1" applyFill="1" applyBorder="1" applyAlignment="1">
      <alignment horizontal="left" vertical="center" wrapText="1" readingOrder="1"/>
    </xf>
    <xf numFmtId="0" fontId="8" fillId="4" borderId="10" xfId="0" applyFont="1" applyFill="1" applyBorder="1" applyAlignment="1">
      <alignment horizontal="center" vertical="center" wrapText="1" readingOrder="1"/>
    </xf>
    <xf numFmtId="0" fontId="8" fillId="4" borderId="11" xfId="0" applyFont="1" applyFill="1" applyBorder="1" applyAlignment="1">
      <alignment horizontal="center" vertical="center" wrapText="1" readingOrder="1"/>
    </xf>
    <xf numFmtId="0" fontId="6" fillId="5" borderId="6" xfId="0" applyFont="1" applyFill="1" applyBorder="1" applyAlignment="1">
      <alignment horizontal="left" vertical="center" wrapText="1" readingOrder="1"/>
    </xf>
    <xf numFmtId="0" fontId="7" fillId="5" borderId="11" xfId="0" applyFont="1" applyFill="1" applyBorder="1" applyAlignment="1">
      <alignment horizontal="left" vertical="center" wrapText="1" readingOrder="1"/>
    </xf>
    <xf numFmtId="0" fontId="8" fillId="5" borderId="6" xfId="0" applyFont="1" applyFill="1" applyBorder="1" applyAlignment="1">
      <alignment horizontal="center" vertical="center" wrapText="1" readingOrder="1"/>
    </xf>
    <xf numFmtId="0" fontId="8" fillId="5" borderId="11" xfId="0" applyFont="1" applyFill="1" applyBorder="1" applyAlignment="1">
      <alignment horizontal="center" vertical="center" wrapText="1" readingOrder="1"/>
    </xf>
    <xf numFmtId="0" fontId="6" fillId="4" borderId="6" xfId="0" applyFont="1" applyFill="1" applyBorder="1" applyAlignment="1">
      <alignment horizontal="left" vertical="center" wrapText="1" readingOrder="1"/>
    </xf>
    <xf numFmtId="0" fontId="8" fillId="4" borderId="6" xfId="0" applyFont="1" applyFill="1" applyBorder="1" applyAlignment="1">
      <alignment horizontal="center" vertical="center" wrapText="1" readingOrder="1"/>
    </xf>
    <xf numFmtId="49" fontId="8" fillId="4" borderId="11" xfId="0" applyNumberFormat="1" applyFont="1" applyFill="1" applyBorder="1" applyAlignment="1">
      <alignment horizontal="center" vertical="center" wrapText="1" readingOrder="1"/>
    </xf>
    <xf numFmtId="49" fontId="8" fillId="5" borderId="11" xfId="0" applyNumberFormat="1" applyFont="1" applyFill="1" applyBorder="1" applyAlignment="1">
      <alignment horizontal="center" vertical="center" wrapText="1" readingOrder="1"/>
    </xf>
    <xf numFmtId="0" fontId="9" fillId="3" borderId="5" xfId="0" applyFont="1" applyFill="1" applyBorder="1" applyAlignment="1">
      <alignment horizontal="left" vertical="center" wrapText="1" readingOrder="1"/>
    </xf>
    <xf numFmtId="0" fontId="10" fillId="4" borderId="8" xfId="0" applyFont="1" applyFill="1" applyBorder="1" applyAlignment="1">
      <alignment horizontal="left" vertical="center" wrapText="1" readingOrder="1"/>
    </xf>
    <xf numFmtId="0" fontId="10" fillId="5" borderId="9" xfId="0" applyFont="1" applyFill="1" applyBorder="1" applyAlignment="1">
      <alignment horizontal="left" vertical="center" wrapText="1" readingOrder="1"/>
    </xf>
    <xf numFmtId="0" fontId="10" fillId="4" borderId="9" xfId="0" applyFont="1" applyFill="1" applyBorder="1" applyAlignment="1">
      <alignment horizontal="left" vertical="center" wrapText="1" readingOrder="1"/>
    </xf>
    <xf numFmtId="0" fontId="11" fillId="0" borderId="0" xfId="0" applyFont="1"/>
    <xf numFmtId="0" fontId="13" fillId="4" borderId="10" xfId="0" applyFont="1" applyFill="1" applyBorder="1" applyAlignment="1">
      <alignment horizontal="left" vertical="center" wrapText="1" readingOrder="1"/>
    </xf>
    <xf numFmtId="3" fontId="13" fillId="4" borderId="11" xfId="0" applyNumberFormat="1" applyFont="1" applyFill="1" applyBorder="1" applyAlignment="1">
      <alignment horizontal="left" vertical="center" wrapText="1" readingOrder="1"/>
    </xf>
    <xf numFmtId="0" fontId="13" fillId="5" borderId="6" xfId="0" applyFont="1" applyFill="1" applyBorder="1" applyAlignment="1">
      <alignment horizontal="left" vertical="center" wrapText="1" readingOrder="1"/>
    </xf>
    <xf numFmtId="3" fontId="13" fillId="5" borderId="11" xfId="0" applyNumberFormat="1" applyFont="1" applyFill="1" applyBorder="1" applyAlignment="1">
      <alignment horizontal="left" vertical="center" wrapText="1" readingOrder="1"/>
    </xf>
    <xf numFmtId="0" fontId="13" fillId="4" borderId="6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right"/>
    </xf>
    <xf numFmtId="0" fontId="24" fillId="3" borderId="6" xfId="0" applyFont="1" applyFill="1" applyBorder="1" applyAlignment="1">
      <alignment horizontal="left" vertical="center" wrapText="1" readingOrder="1"/>
    </xf>
    <xf numFmtId="0" fontId="25" fillId="3" borderId="7" xfId="0" applyFont="1" applyFill="1" applyBorder="1" applyAlignment="1">
      <alignment horizontal="left" vertical="center" wrapText="1" readingOrder="1"/>
    </xf>
    <xf numFmtId="0" fontId="7" fillId="4" borderId="8" xfId="0" applyFont="1" applyFill="1" applyBorder="1" applyAlignment="1">
      <alignment horizontal="left" vertical="center" wrapText="1" readingOrder="1"/>
    </xf>
    <xf numFmtId="0" fontId="7" fillId="5" borderId="9" xfId="0" applyFont="1" applyFill="1" applyBorder="1" applyAlignment="1">
      <alignment horizontal="left" vertical="center" wrapText="1" readingOrder="1"/>
    </xf>
    <xf numFmtId="0" fontId="7" fillId="4" borderId="9" xfId="0" applyFont="1" applyFill="1" applyBorder="1" applyAlignment="1">
      <alignment horizontal="left" vertical="center" wrapText="1" readingOrder="1"/>
    </xf>
    <xf numFmtId="3" fontId="7" fillId="5" borderId="9" xfId="0" applyNumberFormat="1" applyFont="1" applyFill="1" applyBorder="1" applyAlignment="1">
      <alignment horizontal="left" vertical="center" wrapText="1" readingOrder="1"/>
    </xf>
    <xf numFmtId="0" fontId="24" fillId="3" borderId="7" xfId="0" applyFont="1" applyFill="1" applyBorder="1" applyAlignment="1">
      <alignment horizontal="left" vertical="center" wrapText="1" readingOrder="1"/>
    </xf>
    <xf numFmtId="0" fontId="26" fillId="0" borderId="0" xfId="0" applyFont="1"/>
    <xf numFmtId="0" fontId="8" fillId="4" borderId="10" xfId="0" applyFont="1" applyFill="1" applyBorder="1" applyAlignment="1">
      <alignment horizontal="left" vertical="center" wrapText="1" readingOrder="1"/>
    </xf>
    <xf numFmtId="3" fontId="8" fillId="4" borderId="11" xfId="0" applyNumberFormat="1" applyFont="1" applyFill="1" applyBorder="1" applyAlignment="1">
      <alignment horizontal="left" vertical="center" wrapText="1" readingOrder="1"/>
    </xf>
    <xf numFmtId="0" fontId="8" fillId="5" borderId="6" xfId="0" applyFont="1" applyFill="1" applyBorder="1" applyAlignment="1">
      <alignment horizontal="left" vertical="center" wrapText="1" readingOrder="1"/>
    </xf>
    <xf numFmtId="3" fontId="8" fillId="5" borderId="11" xfId="0" applyNumberFormat="1" applyFont="1" applyFill="1" applyBorder="1" applyAlignment="1">
      <alignment horizontal="left" vertical="center" wrapText="1" readingOrder="1"/>
    </xf>
    <xf numFmtId="0" fontId="8" fillId="4" borderId="6" xfId="0" applyFont="1" applyFill="1" applyBorder="1" applyAlignment="1">
      <alignment horizontal="left" vertical="center" wrapText="1" readingOrder="1"/>
    </xf>
    <xf numFmtId="0" fontId="28" fillId="3" borderId="5" xfId="0" applyFont="1" applyFill="1" applyBorder="1" applyAlignment="1">
      <alignment horizontal="left" vertical="center" wrapText="1" readingOrder="1"/>
    </xf>
    <xf numFmtId="0" fontId="31" fillId="4" borderId="10" xfId="0" applyFont="1" applyFill="1" applyBorder="1" applyAlignment="1">
      <alignment horizontal="left" vertical="center" wrapText="1" readingOrder="1"/>
    </xf>
    <xf numFmtId="3" fontId="31" fillId="4" borderId="11" xfId="0" applyNumberFormat="1" applyFont="1" applyFill="1" applyBorder="1" applyAlignment="1">
      <alignment horizontal="left" vertical="center" wrapText="1" readingOrder="1"/>
    </xf>
    <xf numFmtId="0" fontId="31" fillId="5" borderId="6" xfId="0" applyFont="1" applyFill="1" applyBorder="1" applyAlignment="1">
      <alignment horizontal="left" vertical="center" wrapText="1" readingOrder="1"/>
    </xf>
    <xf numFmtId="3" fontId="31" fillId="5" borderId="11" xfId="0" applyNumberFormat="1" applyFont="1" applyFill="1" applyBorder="1" applyAlignment="1">
      <alignment horizontal="left" vertical="center" wrapText="1" readingOrder="1"/>
    </xf>
    <xf numFmtId="0" fontId="31" fillId="4" borderId="6" xfId="0" applyFont="1" applyFill="1" applyBorder="1" applyAlignment="1">
      <alignment horizontal="left" vertical="center" wrapText="1" readingOrder="1"/>
    </xf>
    <xf numFmtId="0" fontId="26" fillId="0" borderId="0" xfId="0" applyFont="1" applyAlignment="1">
      <alignment horizontal="left" vertical="center" readingOrder="1"/>
    </xf>
    <xf numFmtId="0" fontId="35" fillId="0" borderId="0" xfId="0" applyFont="1" applyAlignment="1">
      <alignment horizontal="left" vertical="center" indent="3" readingOrder="1"/>
    </xf>
    <xf numFmtId="49" fontId="3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6" borderId="1" xfId="0" applyFont="1" applyFill="1" applyBorder="1"/>
    <xf numFmtId="0" fontId="3" fillId="0" borderId="22" xfId="0" applyFont="1" applyBorder="1"/>
    <xf numFmtId="0" fontId="3" fillId="0" borderId="18" xfId="0" applyFont="1" applyBorder="1"/>
    <xf numFmtId="0" fontId="40" fillId="0" borderId="22" xfId="0" applyFont="1" applyBorder="1"/>
    <xf numFmtId="0" fontId="40" fillId="0" borderId="18" xfId="0" applyFont="1" applyBorder="1"/>
    <xf numFmtId="0" fontId="3" fillId="0" borderId="23" xfId="0" applyFont="1" applyBorder="1"/>
    <xf numFmtId="0" fontId="3" fillId="0" borderId="16" xfId="0" applyFont="1" applyBorder="1"/>
    <xf numFmtId="0" fontId="41" fillId="0" borderId="0" xfId="0" applyFont="1"/>
    <xf numFmtId="0" fontId="3" fillId="7" borderId="22" xfId="0" applyFont="1" applyFill="1" applyBorder="1"/>
    <xf numFmtId="0" fontId="3" fillId="7" borderId="18" xfId="0" applyFont="1" applyFill="1" applyBorder="1"/>
    <xf numFmtId="0" fontId="40" fillId="7" borderId="22" xfId="0" applyFont="1" applyFill="1" applyBorder="1"/>
    <xf numFmtId="0" fontId="40" fillId="7" borderId="18" xfId="0" applyFont="1" applyFill="1" applyBorder="1"/>
    <xf numFmtId="0" fontId="40" fillId="0" borderId="0" xfId="0" applyFont="1"/>
    <xf numFmtId="0" fontId="3" fillId="0" borderId="25" xfId="0" applyFont="1" applyBorder="1"/>
    <xf numFmtId="0" fontId="0" fillId="7" borderId="20" xfId="0" applyFill="1" applyBorder="1"/>
    <xf numFmtId="0" fontId="0" fillId="7" borderId="21" xfId="0" applyFill="1" applyBorder="1"/>
    <xf numFmtId="0" fontId="0" fillId="7" borderId="22" xfId="0" applyFill="1" applyBorder="1"/>
    <xf numFmtId="0" fontId="0" fillId="7" borderId="18" xfId="0" applyFill="1" applyBorder="1"/>
    <xf numFmtId="0" fontId="0" fillId="7" borderId="23" xfId="0" applyFill="1" applyBorder="1"/>
    <xf numFmtId="0" fontId="0" fillId="7" borderId="16" xfId="0" applyFill="1" applyBorder="1"/>
    <xf numFmtId="0" fontId="0" fillId="8" borderId="0" xfId="0" applyFill="1"/>
    <xf numFmtId="49" fontId="0" fillId="8" borderId="0" xfId="0" applyNumberFormat="1" applyFill="1"/>
    <xf numFmtId="0" fontId="34" fillId="0" borderId="0" xfId="2"/>
    <xf numFmtId="0" fontId="22" fillId="0" borderId="14" xfId="2" applyFont="1" applyBorder="1" applyAlignment="1">
      <alignment horizontal="justify" vertical="center" wrapText="1"/>
    </xf>
    <xf numFmtId="0" fontId="22" fillId="0" borderId="16" xfId="2" applyFont="1" applyBorder="1" applyAlignment="1">
      <alignment horizontal="justify" vertical="center" wrapText="1"/>
    </xf>
    <xf numFmtId="0" fontId="22" fillId="0" borderId="16" xfId="2" applyFont="1" applyBorder="1" applyAlignment="1">
      <alignment horizontal="center" vertical="center" wrapText="1"/>
    </xf>
    <xf numFmtId="0" fontId="23" fillId="9" borderId="1" xfId="2" applyFont="1" applyFill="1" applyBorder="1" applyAlignment="1">
      <alignment horizontal="left" vertical="center" wrapText="1"/>
    </xf>
    <xf numFmtId="0" fontId="22" fillId="9" borderId="16" xfId="2" applyFont="1" applyFill="1" applyBorder="1" applyAlignment="1">
      <alignment horizontal="justify" vertical="center" wrapText="1"/>
    </xf>
    <xf numFmtId="0" fontId="22" fillId="9" borderId="16" xfId="2" applyFont="1" applyFill="1" applyBorder="1" applyAlignment="1">
      <alignment horizontal="center" vertical="center" wrapText="1"/>
    </xf>
    <xf numFmtId="0" fontId="34" fillId="10" borderId="0" xfId="2" applyFill="1"/>
    <xf numFmtId="0" fontId="23" fillId="9" borderId="15" xfId="2" applyFont="1" applyFill="1" applyBorder="1" applyAlignment="1">
      <alignment vertical="center" wrapText="1"/>
    </xf>
    <xf numFmtId="0" fontId="23" fillId="11" borderId="1" xfId="2" applyFont="1" applyFill="1" applyBorder="1" applyAlignment="1">
      <alignment horizontal="left" vertical="center" wrapText="1"/>
    </xf>
    <xf numFmtId="0" fontId="22" fillId="11" borderId="16" xfId="2" applyFont="1" applyFill="1" applyBorder="1" applyAlignment="1">
      <alignment horizontal="justify" vertical="center" wrapText="1"/>
    </xf>
    <xf numFmtId="0" fontId="22" fillId="11" borderId="16" xfId="2" applyFont="1" applyFill="1" applyBorder="1" applyAlignment="1">
      <alignment horizontal="center" vertical="center" wrapText="1"/>
    </xf>
    <xf numFmtId="0" fontId="23" fillId="11" borderId="15" xfId="2" applyFont="1" applyFill="1" applyBorder="1" applyAlignment="1">
      <alignment vertical="center" wrapText="1"/>
    </xf>
    <xf numFmtId="0" fontId="23" fillId="6" borderId="1" xfId="2" applyFont="1" applyFill="1" applyBorder="1" applyAlignment="1">
      <alignment horizontal="left" vertical="center" wrapText="1"/>
    </xf>
    <xf numFmtId="0" fontId="22" fillId="6" borderId="16" xfId="2" applyFont="1" applyFill="1" applyBorder="1" applyAlignment="1">
      <alignment horizontal="justify" vertical="center" wrapText="1"/>
    </xf>
    <xf numFmtId="0" fontId="22" fillId="6" borderId="16" xfId="2" applyFont="1" applyFill="1" applyBorder="1" applyAlignment="1">
      <alignment horizontal="center" vertical="center" wrapText="1"/>
    </xf>
    <xf numFmtId="0" fontId="23" fillId="6" borderId="15" xfId="2" applyFont="1" applyFill="1" applyBorder="1" applyAlignment="1">
      <alignment vertical="center" wrapText="1"/>
    </xf>
    <xf numFmtId="0" fontId="23" fillId="12" borderId="1" xfId="2" applyFont="1" applyFill="1" applyBorder="1" applyAlignment="1">
      <alignment horizontal="left" vertical="center" wrapText="1"/>
    </xf>
    <xf numFmtId="0" fontId="22" fillId="12" borderId="16" xfId="2" applyFont="1" applyFill="1" applyBorder="1" applyAlignment="1">
      <alignment horizontal="justify" vertical="center" wrapText="1"/>
    </xf>
    <xf numFmtId="0" fontId="22" fillId="12" borderId="16" xfId="2" applyFont="1" applyFill="1" applyBorder="1" applyAlignment="1">
      <alignment horizontal="center" vertical="center" wrapText="1"/>
    </xf>
    <xf numFmtId="0" fontId="23" fillId="12" borderId="15" xfId="2" applyFont="1" applyFill="1" applyBorder="1" applyAlignment="1">
      <alignment vertical="center" wrapText="1"/>
    </xf>
    <xf numFmtId="0" fontId="23" fillId="13" borderId="1" xfId="2" applyFont="1" applyFill="1" applyBorder="1" applyAlignment="1">
      <alignment horizontal="left" vertical="center" wrapText="1"/>
    </xf>
    <xf numFmtId="0" fontId="22" fillId="13" borderId="16" xfId="2" applyFont="1" applyFill="1" applyBorder="1" applyAlignment="1">
      <alignment horizontal="justify" vertical="center" wrapText="1"/>
    </xf>
    <xf numFmtId="0" fontId="22" fillId="13" borderId="16" xfId="2" applyFont="1" applyFill="1" applyBorder="1" applyAlignment="1">
      <alignment horizontal="center" vertical="center" wrapText="1"/>
    </xf>
    <xf numFmtId="0" fontId="23" fillId="13" borderId="15" xfId="2" applyFont="1" applyFill="1" applyBorder="1" applyAlignment="1">
      <alignment vertical="center" wrapText="1"/>
    </xf>
    <xf numFmtId="0" fontId="23" fillId="8" borderId="1" xfId="2" applyFont="1" applyFill="1" applyBorder="1" applyAlignment="1">
      <alignment horizontal="left" vertical="center" wrapText="1"/>
    </xf>
    <xf numFmtId="0" fontId="22" fillId="8" borderId="16" xfId="2" applyFont="1" applyFill="1" applyBorder="1" applyAlignment="1">
      <alignment horizontal="justify" vertical="center" wrapText="1"/>
    </xf>
    <xf numFmtId="0" fontId="22" fillId="8" borderId="16" xfId="2" applyFont="1" applyFill="1" applyBorder="1" applyAlignment="1">
      <alignment horizontal="center" vertical="center" wrapText="1"/>
    </xf>
    <xf numFmtId="0" fontId="23" fillId="8" borderId="15" xfId="2" applyFont="1" applyFill="1" applyBorder="1" applyAlignment="1">
      <alignment vertical="center" wrapText="1"/>
    </xf>
    <xf numFmtId="0" fontId="23" fillId="14" borderId="1" xfId="2" applyFont="1" applyFill="1" applyBorder="1" applyAlignment="1">
      <alignment horizontal="left" vertical="center" wrapText="1"/>
    </xf>
    <xf numFmtId="0" fontId="22" fillId="14" borderId="16" xfId="2" applyFont="1" applyFill="1" applyBorder="1" applyAlignment="1">
      <alignment horizontal="justify" vertical="center" wrapText="1"/>
    </xf>
    <xf numFmtId="0" fontId="22" fillId="14" borderId="16" xfId="2" applyFont="1" applyFill="1" applyBorder="1" applyAlignment="1">
      <alignment horizontal="center" vertical="center" wrapText="1"/>
    </xf>
    <xf numFmtId="0" fontId="23" fillId="14" borderId="15" xfId="2" applyFont="1" applyFill="1" applyBorder="1" applyAlignment="1">
      <alignment vertical="center" wrapText="1"/>
    </xf>
    <xf numFmtId="3" fontId="22" fillId="14" borderId="16" xfId="2" applyNumberFormat="1" applyFont="1" applyFill="1" applyBorder="1" applyAlignment="1">
      <alignment horizontal="justify" vertical="center" wrapText="1"/>
    </xf>
    <xf numFmtId="0" fontId="1" fillId="0" borderId="1" xfId="2" applyFont="1" applyBorder="1" applyAlignment="1">
      <alignment horizontal="center"/>
    </xf>
    <xf numFmtId="0" fontId="1" fillId="0" borderId="0" xfId="2" applyFont="1" applyAlignment="1">
      <alignment wrapText="1"/>
    </xf>
    <xf numFmtId="0" fontId="15" fillId="0" borderId="0" xfId="2" applyFont="1" applyAlignment="1">
      <alignment vertical="center"/>
    </xf>
    <xf numFmtId="0" fontId="16" fillId="0" borderId="0" xfId="2" applyFont="1" applyAlignment="1">
      <alignment horizontal="left" vertical="center" indent="1"/>
    </xf>
    <xf numFmtId="0" fontId="18" fillId="0" borderId="0" xfId="2" applyFont="1"/>
    <xf numFmtId="0" fontId="16" fillId="0" borderId="0" xfId="2" applyFont="1" applyAlignment="1">
      <alignment horizontal="left" vertical="center" indent="6"/>
    </xf>
    <xf numFmtId="0" fontId="19" fillId="0" borderId="0" xfId="2" applyFont="1" applyAlignment="1">
      <alignment horizontal="left" vertical="center" indent="10"/>
    </xf>
    <xf numFmtId="0" fontId="20" fillId="0" borderId="0" xfId="2" applyFont="1" applyAlignment="1">
      <alignment horizontal="justify" vertical="center"/>
    </xf>
    <xf numFmtId="0" fontId="37" fillId="0" borderId="0" xfId="2" applyFont="1" applyAlignment="1">
      <alignment horizontal="justify" vertical="center"/>
    </xf>
    <xf numFmtId="0" fontId="19" fillId="0" borderId="0" xfId="2" applyFont="1" applyAlignment="1">
      <alignment horizontal="justify" vertical="center"/>
    </xf>
    <xf numFmtId="0" fontId="19" fillId="0" borderId="0" xfId="2" applyFont="1" applyAlignment="1">
      <alignment vertical="center"/>
    </xf>
    <xf numFmtId="0" fontId="16" fillId="0" borderId="0" xfId="2" applyFont="1" applyAlignment="1">
      <alignment horizontal="justify" vertical="center"/>
    </xf>
    <xf numFmtId="0" fontId="18" fillId="0" borderId="0" xfId="2" applyFont="1" applyAlignment="1">
      <alignment horizontal="justify" vertical="center"/>
    </xf>
    <xf numFmtId="0" fontId="18" fillId="0" borderId="0" xfId="2" applyFont="1" applyAlignment="1">
      <alignment horizontal="left" vertical="center" indent="2"/>
    </xf>
    <xf numFmtId="0" fontId="19" fillId="0" borderId="0" xfId="2" applyFont="1" applyAlignment="1">
      <alignment horizontal="justify" vertical="justify" wrapText="1"/>
    </xf>
    <xf numFmtId="0" fontId="19" fillId="0" borderId="0" xfId="2" applyFont="1"/>
    <xf numFmtId="0" fontId="3" fillId="10" borderId="1" xfId="0" applyFont="1" applyFill="1" applyBorder="1"/>
    <xf numFmtId="0" fontId="3" fillId="6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4" borderId="6" xfId="0" applyFont="1" applyFill="1" applyBorder="1" applyAlignment="1">
      <alignment horizontal="left" vertical="center" wrapText="1" readingOrder="1"/>
    </xf>
    <xf numFmtId="0" fontId="6" fillId="4" borderId="11" xfId="0" applyFont="1" applyFill="1" applyBorder="1" applyAlignment="1">
      <alignment horizontal="left" vertical="center" wrapText="1" readingOrder="1"/>
    </xf>
    <xf numFmtId="3" fontId="6" fillId="4" borderId="6" xfId="0" applyNumberFormat="1" applyFont="1" applyFill="1" applyBorder="1" applyAlignment="1">
      <alignment horizontal="left" vertical="center" wrapText="1" readingOrder="1"/>
    </xf>
    <xf numFmtId="3" fontId="6" fillId="4" borderId="11" xfId="0" applyNumberFormat="1" applyFont="1" applyFill="1" applyBorder="1" applyAlignment="1">
      <alignment horizontal="left" vertical="center" wrapText="1" readingOrder="1"/>
    </xf>
    <xf numFmtId="0" fontId="7" fillId="4" borderId="6" xfId="0" applyFont="1" applyFill="1" applyBorder="1" applyAlignment="1">
      <alignment horizontal="left" vertical="center" wrapText="1" readingOrder="1"/>
    </xf>
    <xf numFmtId="0" fontId="7" fillId="4" borderId="11" xfId="0" applyFont="1" applyFill="1" applyBorder="1" applyAlignment="1">
      <alignment horizontal="left" vertical="center" wrapText="1" readingOrder="1"/>
    </xf>
    <xf numFmtId="0" fontId="6" fillId="5" borderId="6" xfId="0" applyFont="1" applyFill="1" applyBorder="1" applyAlignment="1">
      <alignment horizontal="left" vertical="center" wrapText="1" readingOrder="1"/>
    </xf>
    <xf numFmtId="0" fontId="6" fillId="5" borderId="11" xfId="0" applyFont="1" applyFill="1" applyBorder="1" applyAlignment="1">
      <alignment horizontal="left" vertical="center" wrapText="1" readingOrder="1"/>
    </xf>
    <xf numFmtId="3" fontId="6" fillId="5" borderId="6" xfId="0" applyNumberFormat="1" applyFont="1" applyFill="1" applyBorder="1" applyAlignment="1">
      <alignment horizontal="left" vertical="center" wrapText="1" readingOrder="1"/>
    </xf>
    <xf numFmtId="3" fontId="6" fillId="5" borderId="11" xfId="0" applyNumberFormat="1" applyFont="1" applyFill="1" applyBorder="1" applyAlignment="1">
      <alignment horizontal="left" vertical="center" wrapText="1" readingOrder="1"/>
    </xf>
    <xf numFmtId="0" fontId="7" fillId="5" borderId="6" xfId="0" applyFont="1" applyFill="1" applyBorder="1" applyAlignment="1">
      <alignment horizontal="left" vertical="center" wrapText="1" readingOrder="1"/>
    </xf>
    <xf numFmtId="0" fontId="7" fillId="5" borderId="11" xfId="0" applyFont="1" applyFill="1" applyBorder="1" applyAlignment="1">
      <alignment horizontal="left" vertical="center" wrapText="1" readingOrder="1"/>
    </xf>
    <xf numFmtId="0" fontId="24" fillId="3" borderId="6" xfId="0" applyFont="1" applyFill="1" applyBorder="1" applyAlignment="1">
      <alignment horizontal="left" vertical="center" wrapText="1" readingOrder="1"/>
    </xf>
    <xf numFmtId="0" fontId="24" fillId="3" borderId="7" xfId="0" applyFont="1" applyFill="1" applyBorder="1" applyAlignment="1">
      <alignment horizontal="left" vertical="center" wrapText="1" readingOrder="1"/>
    </xf>
    <xf numFmtId="0" fontId="6" fillId="4" borderId="10" xfId="0" applyFont="1" applyFill="1" applyBorder="1" applyAlignment="1">
      <alignment horizontal="left" vertical="center" wrapText="1" readingOrder="1"/>
    </xf>
    <xf numFmtId="3" fontId="6" fillId="4" borderId="10" xfId="0" applyNumberFormat="1" applyFont="1" applyFill="1" applyBorder="1" applyAlignment="1">
      <alignment horizontal="left" vertical="center" wrapText="1" readingOrder="1"/>
    </xf>
    <xf numFmtId="0" fontId="7" fillId="4" borderId="10" xfId="0" applyFont="1" applyFill="1" applyBorder="1" applyAlignment="1">
      <alignment horizontal="left" vertical="center" wrapText="1" readingOrder="1"/>
    </xf>
    <xf numFmtId="0" fontId="29" fillId="4" borderId="6" xfId="0" applyFont="1" applyFill="1" applyBorder="1" applyAlignment="1">
      <alignment horizontal="left" vertical="center" wrapText="1" readingOrder="1"/>
    </xf>
    <xf numFmtId="0" fontId="29" fillId="4" borderId="11" xfId="0" applyFont="1" applyFill="1" applyBorder="1" applyAlignment="1">
      <alignment horizontal="left" vertical="center" wrapText="1" readingOrder="1"/>
    </xf>
    <xf numFmtId="3" fontId="29" fillId="4" borderId="6" xfId="0" applyNumberFormat="1" applyFont="1" applyFill="1" applyBorder="1" applyAlignment="1">
      <alignment horizontal="left" vertical="center" wrapText="1" readingOrder="1"/>
    </xf>
    <xf numFmtId="3" fontId="29" fillId="4" borderId="11" xfId="0" applyNumberFormat="1" applyFont="1" applyFill="1" applyBorder="1" applyAlignment="1">
      <alignment horizontal="left" vertical="center" wrapText="1" readingOrder="1"/>
    </xf>
    <xf numFmtId="0" fontId="30" fillId="4" borderId="6" xfId="0" applyFont="1" applyFill="1" applyBorder="1" applyAlignment="1">
      <alignment horizontal="left" vertical="center" wrapText="1" readingOrder="1"/>
    </xf>
    <xf numFmtId="0" fontId="30" fillId="4" borderId="11" xfId="0" applyFont="1" applyFill="1" applyBorder="1" applyAlignment="1">
      <alignment horizontal="left" vertical="center" wrapText="1" readingOrder="1"/>
    </xf>
    <xf numFmtId="0" fontId="29" fillId="5" borderId="6" xfId="0" applyFont="1" applyFill="1" applyBorder="1" applyAlignment="1">
      <alignment horizontal="left" vertical="center" wrapText="1" readingOrder="1"/>
    </xf>
    <xf numFmtId="0" fontId="29" fillId="5" borderId="11" xfId="0" applyFont="1" applyFill="1" applyBorder="1" applyAlignment="1">
      <alignment horizontal="left" vertical="center" wrapText="1" readingOrder="1"/>
    </xf>
    <xf numFmtId="3" fontId="29" fillId="5" borderId="6" xfId="0" applyNumberFormat="1" applyFont="1" applyFill="1" applyBorder="1" applyAlignment="1">
      <alignment horizontal="left" vertical="center" wrapText="1" readingOrder="1"/>
    </xf>
    <xf numFmtId="3" fontId="29" fillId="5" borderId="11" xfId="0" applyNumberFormat="1" applyFont="1" applyFill="1" applyBorder="1" applyAlignment="1">
      <alignment horizontal="left" vertical="center" wrapText="1" readingOrder="1"/>
    </xf>
    <xf numFmtId="0" fontId="30" fillId="5" borderId="6" xfId="0" applyFont="1" applyFill="1" applyBorder="1" applyAlignment="1">
      <alignment horizontal="left" vertical="center" wrapText="1" readingOrder="1"/>
    </xf>
    <xf numFmtId="0" fontId="30" fillId="5" borderId="11" xfId="0" applyFont="1" applyFill="1" applyBorder="1" applyAlignment="1">
      <alignment horizontal="left" vertical="center" wrapText="1" readingOrder="1"/>
    </xf>
    <xf numFmtId="0" fontId="29" fillId="4" borderId="10" xfId="0" applyFont="1" applyFill="1" applyBorder="1" applyAlignment="1">
      <alignment horizontal="left" vertical="center" wrapText="1" readingOrder="1"/>
    </xf>
    <xf numFmtId="0" fontId="30" fillId="4" borderId="10" xfId="0" applyFont="1" applyFill="1" applyBorder="1" applyAlignment="1">
      <alignment horizontal="left" vertical="center" wrapText="1" readingOrder="1"/>
    </xf>
    <xf numFmtId="0" fontId="26" fillId="0" borderId="19" xfId="0" applyFont="1" applyBorder="1" applyAlignment="1">
      <alignment horizontal="center" vertical="center" readingOrder="1"/>
    </xf>
    <xf numFmtId="0" fontId="33" fillId="0" borderId="19" xfId="0" applyFont="1" applyBorder="1" applyAlignment="1">
      <alignment horizontal="center" vertical="center" readingOrder="1"/>
    </xf>
    <xf numFmtId="0" fontId="12" fillId="4" borderId="6" xfId="0" applyFont="1" applyFill="1" applyBorder="1" applyAlignment="1">
      <alignment horizontal="left" vertical="center" wrapText="1" readingOrder="1"/>
    </xf>
    <xf numFmtId="0" fontId="12" fillId="4" borderId="11" xfId="0" applyFont="1" applyFill="1" applyBorder="1" applyAlignment="1">
      <alignment horizontal="left" vertical="center" wrapText="1" readingOrder="1"/>
    </xf>
    <xf numFmtId="0" fontId="12" fillId="4" borderId="10" xfId="0" applyFont="1" applyFill="1" applyBorder="1" applyAlignment="1">
      <alignment horizontal="left" vertical="center" wrapText="1" readingOrder="1"/>
    </xf>
    <xf numFmtId="0" fontId="12" fillId="5" borderId="6" xfId="0" applyFont="1" applyFill="1" applyBorder="1" applyAlignment="1">
      <alignment horizontal="left" vertical="center" wrapText="1" readingOrder="1"/>
    </xf>
    <xf numFmtId="0" fontId="12" fillId="5" borderId="11" xfId="0" applyFont="1" applyFill="1" applyBorder="1" applyAlignment="1">
      <alignment horizontal="left" vertical="center" wrapText="1" readingOrder="1"/>
    </xf>
    <xf numFmtId="0" fontId="5" fillId="3" borderId="6" xfId="0" applyFont="1" applyFill="1" applyBorder="1" applyAlignment="1">
      <alignment horizontal="left" vertical="center" wrapText="1" readingOrder="1"/>
    </xf>
    <xf numFmtId="0" fontId="5" fillId="3" borderId="7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44" fontId="0" fillId="0" borderId="2" xfId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4" borderId="10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center" vertical="center" wrapText="1" readingOrder="1"/>
    </xf>
    <xf numFmtId="0" fontId="6" fillId="5" borderId="11" xfId="0" applyFont="1" applyFill="1" applyBorder="1" applyAlignment="1">
      <alignment horizontal="center" vertical="center" wrapText="1" readingOrder="1"/>
    </xf>
    <xf numFmtId="0" fontId="6" fillId="4" borderId="6" xfId="0" applyFont="1" applyFill="1" applyBorder="1" applyAlignment="1">
      <alignment horizontal="center" vertical="center" wrapText="1" readingOrder="1"/>
    </xf>
    <xf numFmtId="0" fontId="6" fillId="4" borderId="11" xfId="0" applyFont="1" applyFill="1" applyBorder="1" applyAlignment="1">
      <alignment horizontal="center" vertical="center" wrapText="1" readingOrder="1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23" fillId="2" borderId="2" xfId="2" applyFont="1" applyFill="1" applyBorder="1" applyAlignment="1">
      <alignment horizontal="center" vertical="center" wrapText="1"/>
    </xf>
    <xf numFmtId="0" fontId="23" fillId="2" borderId="3" xfId="2" applyFont="1" applyFill="1" applyBorder="1" applyAlignment="1">
      <alignment horizontal="center" vertical="center" wrapText="1"/>
    </xf>
    <xf numFmtId="0" fontId="23" fillId="2" borderId="4" xfId="2" applyFont="1" applyFill="1" applyBorder="1" applyAlignment="1">
      <alignment horizontal="center" vertical="center" wrapText="1"/>
    </xf>
    <xf numFmtId="0" fontId="23" fillId="0" borderId="12" xfId="2" applyFont="1" applyBorder="1" applyAlignment="1">
      <alignment horizontal="left" vertical="center" wrapText="1"/>
    </xf>
    <xf numFmtId="0" fontId="23" fillId="0" borderId="15" xfId="2" applyFont="1" applyBorder="1" applyAlignment="1">
      <alignment horizontal="left" vertical="center" wrapText="1"/>
    </xf>
    <xf numFmtId="0" fontId="23" fillId="0" borderId="17" xfId="2" applyFont="1" applyBorder="1" applyAlignment="1">
      <alignment horizontal="left" vertical="center" wrapText="1"/>
    </xf>
    <xf numFmtId="0" fontId="1" fillId="0" borderId="2" xfId="2" applyFont="1" applyBorder="1" applyAlignment="1">
      <alignment horizontal="center"/>
    </xf>
    <xf numFmtId="0" fontId="1" fillId="0" borderId="3" xfId="2" applyFont="1" applyBorder="1" applyAlignment="1">
      <alignment horizontal="center"/>
    </xf>
    <xf numFmtId="0" fontId="1" fillId="0" borderId="4" xfId="2" applyFont="1" applyBorder="1" applyAlignment="1">
      <alignment horizontal="center"/>
    </xf>
    <xf numFmtId="0" fontId="22" fillId="0" borderId="12" xfId="2" applyFont="1" applyBorder="1" applyAlignment="1">
      <alignment vertical="center" wrapText="1"/>
    </xf>
    <xf numFmtId="0" fontId="22" fillId="0" borderId="15" xfId="2" applyFont="1" applyBorder="1" applyAlignment="1">
      <alignment vertical="center" wrapText="1"/>
    </xf>
    <xf numFmtId="0" fontId="22" fillId="0" borderId="13" xfId="2" applyFont="1" applyBorder="1" applyAlignment="1">
      <alignment vertical="center" wrapText="1"/>
    </xf>
    <xf numFmtId="0" fontId="22" fillId="0" borderId="12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 vertical="center" wrapText="1"/>
    </xf>
    <xf numFmtId="0" fontId="22" fillId="0" borderId="2" xfId="2" applyFont="1" applyBorder="1" applyAlignment="1">
      <alignment horizontal="center" vertical="center" wrapText="1"/>
    </xf>
    <xf numFmtId="0" fontId="22" fillId="0" borderId="4" xfId="2" applyFont="1" applyBorder="1" applyAlignment="1">
      <alignment horizontal="center" vertical="center" wrapText="1"/>
    </xf>
    <xf numFmtId="3" fontId="22" fillId="9" borderId="16" xfId="2" applyNumberFormat="1" applyFont="1" applyFill="1" applyBorder="1" applyAlignment="1">
      <alignment horizontal="justify" vertical="center" wrapText="1"/>
    </xf>
    <xf numFmtId="3" fontId="22" fillId="11" borderId="16" xfId="2" applyNumberFormat="1" applyFont="1" applyFill="1" applyBorder="1" applyAlignment="1">
      <alignment horizontal="justify" vertical="center" wrapText="1"/>
    </xf>
  </cellXfs>
  <cellStyles count="3">
    <cellStyle name="Moeda" xfId="1" builtinId="4"/>
    <cellStyle name="Normal" xfId="0" builtinId="0"/>
    <cellStyle name="Normal 2" xfId="2" xr:uid="{667618A4-3260-4D65-AE38-76294C2BDF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124358</xdr:rowOff>
    </xdr:from>
    <xdr:to>
      <xdr:col>1</xdr:col>
      <xdr:colOff>2354884</xdr:colOff>
      <xdr:row>50</xdr:row>
      <xdr:rowOff>62670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CDBF03-421E-4564-9492-4248ADBE4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76057"/>
          <a:ext cx="3825239" cy="2356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603A-89D7-4345-879A-C03052B99BF9}">
  <dimension ref="A1:I26"/>
  <sheetViews>
    <sheetView zoomScale="150" zoomScaleNormal="150" workbookViewId="0">
      <selection activeCell="I7" sqref="I7"/>
    </sheetView>
  </sheetViews>
  <sheetFormatPr defaultRowHeight="14.4" x14ac:dyDescent="0.3"/>
  <cols>
    <col min="1" max="1" width="38.5546875" bestFit="1" customWidth="1"/>
  </cols>
  <sheetData>
    <row r="1" spans="1:9" ht="15" thickBot="1" x14ac:dyDescent="0.35">
      <c r="A1" s="144" t="s">
        <v>11</v>
      </c>
      <c r="B1" s="145"/>
      <c r="C1" s="145"/>
      <c r="D1" s="145"/>
      <c r="E1" s="145"/>
      <c r="F1" s="145"/>
      <c r="G1" s="145"/>
      <c r="H1" s="145"/>
      <c r="I1" s="146"/>
    </row>
    <row r="2" spans="1:9" ht="15" thickBot="1" x14ac:dyDescent="0.35">
      <c r="A2" s="2" t="s">
        <v>8</v>
      </c>
      <c r="B2" s="1">
        <v>8</v>
      </c>
      <c r="C2" s="1">
        <v>7</v>
      </c>
      <c r="D2" s="1">
        <v>6</v>
      </c>
      <c r="E2" s="1">
        <v>5</v>
      </c>
      <c r="F2" s="1">
        <v>4</v>
      </c>
      <c r="G2" s="1">
        <v>3</v>
      </c>
      <c r="H2" s="1">
        <v>2</v>
      </c>
      <c r="I2" s="1">
        <v>1</v>
      </c>
    </row>
    <row r="3" spans="1:9" ht="16.649999999999999" thickBot="1" x14ac:dyDescent="0.4">
      <c r="A3" s="3" t="s">
        <v>9</v>
      </c>
      <c r="B3" s="4" t="s">
        <v>0</v>
      </c>
      <c r="C3" s="4" t="s">
        <v>1</v>
      </c>
      <c r="D3" s="4" t="s">
        <v>2</v>
      </c>
      <c r="E3" s="4" t="s">
        <v>7</v>
      </c>
      <c r="F3" s="4" t="s">
        <v>6</v>
      </c>
      <c r="G3" s="4" t="s">
        <v>5</v>
      </c>
      <c r="H3" s="4" t="s">
        <v>4</v>
      </c>
      <c r="I3" s="4" t="s">
        <v>3</v>
      </c>
    </row>
    <row r="4" spans="1:9" ht="15" thickBot="1" x14ac:dyDescent="0.35">
      <c r="A4" s="2" t="s">
        <v>10</v>
      </c>
      <c r="B4" s="5">
        <v>128</v>
      </c>
      <c r="C4" s="5">
        <v>64</v>
      </c>
      <c r="D4" s="5">
        <v>32</v>
      </c>
      <c r="E4" s="10">
        <v>16</v>
      </c>
      <c r="F4" s="5">
        <v>8</v>
      </c>
      <c r="G4" s="5">
        <v>4</v>
      </c>
      <c r="H4" s="142">
        <v>2</v>
      </c>
      <c r="I4" s="5">
        <v>1</v>
      </c>
    </row>
    <row r="5" spans="1:9" ht="15" thickBot="1" x14ac:dyDescent="0.35">
      <c r="A5" s="1"/>
      <c r="B5" s="11">
        <v>1</v>
      </c>
      <c r="C5" s="11">
        <v>1</v>
      </c>
      <c r="D5" s="11">
        <v>1</v>
      </c>
      <c r="E5" s="11">
        <v>1</v>
      </c>
      <c r="F5" s="12">
        <v>1</v>
      </c>
      <c r="G5" s="12">
        <v>1</v>
      </c>
      <c r="H5" s="12">
        <v>1</v>
      </c>
      <c r="I5" s="12">
        <v>1</v>
      </c>
    </row>
    <row r="7" spans="1:9" x14ac:dyDescent="0.3">
      <c r="A7" s="7" t="s">
        <v>340</v>
      </c>
      <c r="C7">
        <f>B4+C4+E4+H4</f>
        <v>210</v>
      </c>
      <c r="I7">
        <v>15</v>
      </c>
    </row>
    <row r="8" spans="1:9" x14ac:dyDescent="0.3">
      <c r="A8" s="7" t="s">
        <v>341</v>
      </c>
    </row>
    <row r="9" spans="1:9" x14ac:dyDescent="0.3">
      <c r="A9">
        <v>160</v>
      </c>
    </row>
    <row r="10" spans="1:9" x14ac:dyDescent="0.3">
      <c r="A10">
        <v>20</v>
      </c>
    </row>
    <row r="11" spans="1:9" x14ac:dyDescent="0.3">
      <c r="A11">
        <v>32</v>
      </c>
    </row>
    <row r="12" spans="1:9" x14ac:dyDescent="0.3">
      <c r="A12">
        <v>243</v>
      </c>
    </row>
    <row r="13" spans="1:9" x14ac:dyDescent="0.3">
      <c r="A13" s="7" t="s">
        <v>15</v>
      </c>
    </row>
    <row r="15" spans="1:9" x14ac:dyDescent="0.3">
      <c r="A15" s="6">
        <v>255255255255</v>
      </c>
    </row>
    <row r="16" spans="1:9" x14ac:dyDescent="0.3">
      <c r="A16" s="9" t="s">
        <v>12</v>
      </c>
    </row>
    <row r="17" spans="1:1" x14ac:dyDescent="0.3">
      <c r="A17" t="s">
        <v>14</v>
      </c>
    </row>
    <row r="18" spans="1:1" x14ac:dyDescent="0.3">
      <c r="A18" s="8" t="s">
        <v>13</v>
      </c>
    </row>
    <row r="19" spans="1:1" x14ac:dyDescent="0.3">
      <c r="A19" s="8"/>
    </row>
    <row r="21" spans="1:1" x14ac:dyDescent="0.3">
      <c r="A21" s="6"/>
    </row>
    <row r="26" spans="1:1" x14ac:dyDescent="0.3">
      <c r="A26" s="7"/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3EED-3CFE-47B8-B44E-4CD1617A7E15}">
  <dimension ref="A1:AF156"/>
  <sheetViews>
    <sheetView topLeftCell="O1" zoomScale="130" zoomScaleNormal="130" workbookViewId="0">
      <selection activeCell="T5" sqref="T5"/>
    </sheetView>
  </sheetViews>
  <sheetFormatPr defaultRowHeight="14.4" x14ac:dyDescent="0.3"/>
  <cols>
    <col min="1" max="1" width="20.109375" bestFit="1" customWidth="1"/>
    <col min="2" max="2" width="38" bestFit="1" customWidth="1"/>
    <col min="3" max="3" width="48" bestFit="1" customWidth="1"/>
    <col min="4" max="4" width="22.44140625" customWidth="1"/>
    <col min="6" max="6" width="9.5546875" customWidth="1"/>
    <col min="7" max="7" width="8.88671875" bestFit="1" customWidth="1"/>
    <col min="8" max="8" width="9.44140625" customWidth="1"/>
    <col min="9" max="9" width="8.88671875" bestFit="1" customWidth="1"/>
    <col min="10" max="10" width="9.44140625" customWidth="1"/>
    <col min="13" max="13" width="4.77734375" customWidth="1"/>
    <col min="18" max="18" width="12.21875" customWidth="1"/>
    <col min="19" max="19" width="10.5546875" customWidth="1"/>
    <col min="21" max="21" width="14.109375" customWidth="1"/>
    <col min="25" max="25" width="15.21875" bestFit="1" customWidth="1"/>
    <col min="26" max="27" width="11.44140625" bestFit="1" customWidth="1"/>
    <col min="28" max="28" width="13.6640625" bestFit="1" customWidth="1"/>
    <col min="29" max="29" width="27.33203125" bestFit="1" customWidth="1"/>
  </cols>
  <sheetData>
    <row r="1" spans="1:32" ht="24.75" customHeight="1" thickBot="1" x14ac:dyDescent="0.35">
      <c r="A1" s="185" t="s">
        <v>16</v>
      </c>
      <c r="B1" s="185" t="s">
        <v>17</v>
      </c>
      <c r="C1" s="13" t="s">
        <v>18</v>
      </c>
      <c r="F1" s="144" t="s">
        <v>55</v>
      </c>
      <c r="G1" s="145"/>
      <c r="H1" s="145"/>
      <c r="I1" s="145"/>
      <c r="J1" s="145"/>
      <c r="K1" s="145"/>
      <c r="L1" s="145"/>
      <c r="M1" s="145"/>
      <c r="N1" s="146"/>
      <c r="R1" s="144" t="s">
        <v>259</v>
      </c>
      <c r="S1" s="145"/>
      <c r="T1" s="145"/>
      <c r="U1" s="145"/>
      <c r="V1" s="145"/>
      <c r="W1" s="145"/>
      <c r="X1" s="145"/>
      <c r="Y1" s="145"/>
      <c r="Z1" s="146"/>
    </row>
    <row r="2" spans="1:32" ht="15" thickBot="1" x14ac:dyDescent="0.35">
      <c r="A2" s="186"/>
      <c r="B2" s="186"/>
      <c r="C2" s="14" t="s">
        <v>19</v>
      </c>
      <c r="F2" s="2" t="s">
        <v>8</v>
      </c>
      <c r="G2" s="1">
        <v>8</v>
      </c>
      <c r="H2" s="1">
        <v>7</v>
      </c>
      <c r="I2" s="1">
        <v>6</v>
      </c>
      <c r="J2" s="1">
        <v>5</v>
      </c>
      <c r="K2" s="1">
        <v>4</v>
      </c>
      <c r="L2" s="1">
        <v>3</v>
      </c>
      <c r="M2" s="1">
        <v>2</v>
      </c>
      <c r="N2" s="1">
        <v>1</v>
      </c>
      <c r="O2" t="s">
        <v>253</v>
      </c>
      <c r="R2" s="2" t="s">
        <v>8</v>
      </c>
      <c r="S2" s="1">
        <v>8</v>
      </c>
      <c r="T2" s="1">
        <v>7</v>
      </c>
      <c r="U2" s="1">
        <v>6</v>
      </c>
      <c r="V2" s="1">
        <v>5</v>
      </c>
      <c r="W2" s="1">
        <v>4</v>
      </c>
      <c r="X2" s="1">
        <v>3</v>
      </c>
      <c r="Y2" s="1">
        <v>2</v>
      </c>
      <c r="Z2" s="1">
        <v>1</v>
      </c>
      <c r="AA2" t="s">
        <v>253</v>
      </c>
    </row>
    <row r="3" spans="1:32" ht="17.25" thickTop="1" thickBot="1" x14ac:dyDescent="0.4">
      <c r="A3" s="15" t="s">
        <v>20</v>
      </c>
      <c r="B3" s="16">
        <v>1.1111111E+31</v>
      </c>
      <c r="C3" s="15" t="s">
        <v>21</v>
      </c>
      <c r="F3" s="3" t="s">
        <v>9</v>
      </c>
      <c r="G3" s="4" t="s">
        <v>0</v>
      </c>
      <c r="H3" s="4" t="s">
        <v>1</v>
      </c>
      <c r="I3" s="4" t="s">
        <v>2</v>
      </c>
      <c r="J3" s="4" t="s">
        <v>7</v>
      </c>
      <c r="K3" s="4" t="s">
        <v>6</v>
      </c>
      <c r="L3" s="4" t="s">
        <v>5</v>
      </c>
      <c r="M3" s="4" t="s">
        <v>4</v>
      </c>
      <c r="N3" s="4" t="s">
        <v>3</v>
      </c>
      <c r="R3" s="3" t="s">
        <v>9</v>
      </c>
      <c r="S3" s="4" t="s">
        <v>255</v>
      </c>
      <c r="T3" s="4" t="s">
        <v>260</v>
      </c>
      <c r="U3" s="4" t="s">
        <v>1</v>
      </c>
      <c r="V3" s="4" t="s">
        <v>2</v>
      </c>
      <c r="W3" s="4" t="s">
        <v>7</v>
      </c>
      <c r="X3" s="4" t="s">
        <v>6</v>
      </c>
      <c r="Y3" s="4" t="s">
        <v>5</v>
      </c>
      <c r="Z3" s="4" t="s">
        <v>4</v>
      </c>
      <c r="AA3" t="s">
        <v>261</v>
      </c>
    </row>
    <row r="4" spans="1:32" ht="25.95" customHeight="1" thickBot="1" x14ac:dyDescent="0.35">
      <c r="A4" s="17" t="s">
        <v>22</v>
      </c>
      <c r="B4" s="18">
        <v>1.1111111111111101E+31</v>
      </c>
      <c r="C4" s="17" t="s">
        <v>23</v>
      </c>
      <c r="F4" s="2" t="s">
        <v>10</v>
      </c>
      <c r="G4" s="5">
        <v>128</v>
      </c>
      <c r="H4" s="5">
        <v>64</v>
      </c>
      <c r="I4" s="5">
        <v>32</v>
      </c>
      <c r="J4" s="5">
        <v>16</v>
      </c>
      <c r="K4" s="5">
        <v>8</v>
      </c>
      <c r="L4" s="5">
        <v>4</v>
      </c>
      <c r="M4" s="5">
        <v>2</v>
      </c>
      <c r="N4" s="5">
        <v>1</v>
      </c>
      <c r="O4">
        <f>G4+H4+I4+J4+K4</f>
        <v>248</v>
      </c>
      <c r="R4" s="2" t="s">
        <v>10</v>
      </c>
      <c r="S4" s="5">
        <v>256</v>
      </c>
      <c r="T4" s="5">
        <v>128</v>
      </c>
      <c r="U4" s="5">
        <v>64</v>
      </c>
      <c r="V4" s="5">
        <v>32</v>
      </c>
      <c r="W4" s="5">
        <v>16</v>
      </c>
      <c r="X4" s="5">
        <v>8</v>
      </c>
      <c r="Y4" s="5">
        <v>4</v>
      </c>
      <c r="Z4" s="5">
        <v>2</v>
      </c>
    </row>
    <row r="5" spans="1:32" ht="25.95" customHeight="1" thickBot="1" x14ac:dyDescent="0.35">
      <c r="A5" s="19" t="s">
        <v>24</v>
      </c>
      <c r="B5" s="20">
        <v>1.1111111111111101E+31</v>
      </c>
      <c r="C5" s="19" t="s">
        <v>25</v>
      </c>
      <c r="F5" s="2" t="s">
        <v>56</v>
      </c>
      <c r="G5" s="68">
        <v>1</v>
      </c>
      <c r="H5" s="68">
        <v>1</v>
      </c>
      <c r="I5" s="68">
        <v>1</v>
      </c>
      <c r="J5" s="68">
        <v>1</v>
      </c>
      <c r="K5" s="69">
        <v>1</v>
      </c>
      <c r="L5" s="70">
        <v>1</v>
      </c>
      <c r="M5" s="70">
        <v>1</v>
      </c>
      <c r="N5" s="70">
        <v>1</v>
      </c>
      <c r="R5" s="2" t="s">
        <v>56</v>
      </c>
      <c r="S5" s="68">
        <v>1</v>
      </c>
      <c r="T5" s="68">
        <v>1</v>
      </c>
      <c r="U5" s="143">
        <v>0</v>
      </c>
      <c r="V5" s="143">
        <v>0</v>
      </c>
      <c r="W5" s="143">
        <v>0</v>
      </c>
      <c r="X5" s="143">
        <v>0</v>
      </c>
      <c r="Y5" s="143">
        <v>0</v>
      </c>
      <c r="Z5" s="70">
        <v>0</v>
      </c>
      <c r="AA5">
        <f>Z7*Z8</f>
        <v>256</v>
      </c>
      <c r="AB5">
        <v>4</v>
      </c>
      <c r="AC5">
        <f>AB5*AA5</f>
        <v>1024</v>
      </c>
    </row>
    <row r="6" spans="1:32" ht="15" thickBot="1" x14ac:dyDescent="0.35">
      <c r="A6" s="18">
        <v>255255255128</v>
      </c>
      <c r="B6" s="18">
        <v>1.11111111111111E+29</v>
      </c>
      <c r="C6" s="17" t="s">
        <v>26</v>
      </c>
      <c r="L6" t="s">
        <v>258</v>
      </c>
    </row>
    <row r="7" spans="1:32" ht="15" thickBot="1" x14ac:dyDescent="0.35">
      <c r="A7" s="20">
        <v>255255255192</v>
      </c>
      <c r="B7" s="20">
        <v>1.1111111111111101E+31</v>
      </c>
      <c r="C7" s="19" t="s">
        <v>27</v>
      </c>
      <c r="G7">
        <v>256</v>
      </c>
      <c r="H7">
        <v>256</v>
      </c>
      <c r="I7">
        <v>256</v>
      </c>
      <c r="J7" s="90">
        <v>256</v>
      </c>
      <c r="L7" t="s">
        <v>4</v>
      </c>
      <c r="M7" t="s">
        <v>257</v>
      </c>
      <c r="N7">
        <v>2</v>
      </c>
      <c r="O7" t="s">
        <v>86</v>
      </c>
      <c r="S7">
        <v>256</v>
      </c>
      <c r="T7">
        <v>256</v>
      </c>
      <c r="U7">
        <v>256</v>
      </c>
      <c r="V7">
        <v>256</v>
      </c>
      <c r="X7" s="10" t="s">
        <v>5</v>
      </c>
      <c r="Y7" t="s">
        <v>257</v>
      </c>
      <c r="Z7">
        <f>2^2</f>
        <v>4</v>
      </c>
      <c r="AA7" t="s">
        <v>262</v>
      </c>
      <c r="AB7">
        <f>Z7*Z8</f>
        <v>256</v>
      </c>
      <c r="AC7" t="s">
        <v>294</v>
      </c>
      <c r="AD7">
        <f>Z8-2</f>
        <v>62</v>
      </c>
      <c r="AF7" s="45"/>
    </row>
    <row r="8" spans="1:32" ht="15" thickBot="1" x14ac:dyDescent="0.35">
      <c r="A8" s="18">
        <v>255255255224</v>
      </c>
      <c r="B8" s="18">
        <v>1.1111111111111101E+31</v>
      </c>
      <c r="C8" s="17" t="s">
        <v>28</v>
      </c>
      <c r="G8" s="67" t="s">
        <v>254</v>
      </c>
      <c r="H8" s="67" t="s">
        <v>254</v>
      </c>
      <c r="I8" s="7" t="s">
        <v>295</v>
      </c>
      <c r="J8" s="91" t="s">
        <v>53</v>
      </c>
      <c r="K8" s="7" t="s">
        <v>222</v>
      </c>
      <c r="L8" s="67" t="s">
        <v>260</v>
      </c>
      <c r="M8" t="s">
        <v>257</v>
      </c>
      <c r="N8">
        <v>128</v>
      </c>
      <c r="O8" t="s">
        <v>256</v>
      </c>
      <c r="S8" s="67" t="s">
        <v>254</v>
      </c>
      <c r="T8" s="67" t="s">
        <v>254</v>
      </c>
      <c r="U8" s="67" t="s">
        <v>372</v>
      </c>
      <c r="V8" s="7" t="s">
        <v>371</v>
      </c>
      <c r="W8" s="7" t="s">
        <v>27</v>
      </c>
      <c r="X8" s="7" t="s">
        <v>1</v>
      </c>
      <c r="Y8" t="s">
        <v>257</v>
      </c>
      <c r="Z8">
        <f>2^6</f>
        <v>64</v>
      </c>
      <c r="AA8" t="s">
        <v>263</v>
      </c>
    </row>
    <row r="9" spans="1:32" ht="15" thickBot="1" x14ac:dyDescent="0.35">
      <c r="A9" s="20">
        <v>255255255240</v>
      </c>
      <c r="B9" s="20">
        <v>1.1111111111111101E+31</v>
      </c>
      <c r="C9" s="19" t="s">
        <v>29</v>
      </c>
      <c r="J9" s="6"/>
      <c r="S9">
        <v>255</v>
      </c>
      <c r="T9">
        <v>255</v>
      </c>
      <c r="U9">
        <v>255</v>
      </c>
      <c r="V9">
        <v>192</v>
      </c>
      <c r="AB9">
        <f>Z8*AA5</f>
        <v>16384</v>
      </c>
    </row>
    <row r="10" spans="1:32" ht="15" thickBot="1" x14ac:dyDescent="0.35">
      <c r="A10" s="18">
        <v>255255255248</v>
      </c>
      <c r="B10" s="18">
        <v>1.1111111111111101E+31</v>
      </c>
      <c r="C10" s="17" t="s">
        <v>30</v>
      </c>
      <c r="J10" s="6"/>
      <c r="R10" s="10"/>
      <c r="S10" s="10"/>
      <c r="U10" s="10"/>
      <c r="V10" s="10"/>
      <c r="Y10" s="187" t="s">
        <v>293</v>
      </c>
      <c r="Z10" s="187"/>
      <c r="AA10" s="187"/>
    </row>
    <row r="11" spans="1:32" ht="15" thickBot="1" x14ac:dyDescent="0.35">
      <c r="A11" s="20">
        <v>255255255252</v>
      </c>
      <c r="B11" s="20">
        <v>1.1111111111111101E+31</v>
      </c>
      <c r="C11" s="19" t="s">
        <v>31</v>
      </c>
      <c r="J11" s="6"/>
      <c r="R11" s="144" t="s">
        <v>268</v>
      </c>
      <c r="S11" s="146"/>
      <c r="U11" s="144" t="s">
        <v>299</v>
      </c>
      <c r="V11" s="146"/>
      <c r="Y11" t="s">
        <v>276</v>
      </c>
      <c r="Z11" t="s">
        <v>5</v>
      </c>
      <c r="AA11" t="s">
        <v>292</v>
      </c>
      <c r="AC11" s="6"/>
    </row>
    <row r="12" spans="1:32" ht="46.65" x14ac:dyDescent="0.9">
      <c r="M12" s="6"/>
      <c r="R12" s="71" t="s">
        <v>264</v>
      </c>
      <c r="S12" s="72" t="s">
        <v>86</v>
      </c>
      <c r="U12" s="71"/>
      <c r="V12" s="72"/>
      <c r="Y12" s="77">
        <v>256</v>
      </c>
      <c r="Z12" s="77">
        <v>2</v>
      </c>
      <c r="AA12" s="77">
        <f>Y12-Z12</f>
        <v>254</v>
      </c>
    </row>
    <row r="13" spans="1:32" ht="15" thickBot="1" x14ac:dyDescent="0.35">
      <c r="M13" s="45"/>
      <c r="R13" s="73" t="s">
        <v>265</v>
      </c>
      <c r="S13" s="74" t="s">
        <v>258</v>
      </c>
      <c r="U13" s="73"/>
      <c r="V13" s="74"/>
    </row>
    <row r="14" spans="1:32" ht="23.1" thickBot="1" x14ac:dyDescent="0.35">
      <c r="A14" s="21"/>
      <c r="B14" s="22" t="s">
        <v>32</v>
      </c>
      <c r="C14" s="22" t="s">
        <v>33</v>
      </c>
      <c r="D14" s="22" t="s">
        <v>34</v>
      </c>
      <c r="J14" s="6"/>
      <c r="R14" s="73" t="s">
        <v>266</v>
      </c>
      <c r="S14" s="74" t="s">
        <v>258</v>
      </c>
      <c r="U14" s="73"/>
      <c r="V14" s="74"/>
      <c r="Y14" t="s">
        <v>277</v>
      </c>
    </row>
    <row r="15" spans="1:32" ht="46.8" thickTop="1" x14ac:dyDescent="0.85">
      <c r="A15" s="23" t="s">
        <v>35</v>
      </c>
      <c r="B15" s="25" t="s">
        <v>37</v>
      </c>
      <c r="C15" s="25">
        <v>0</v>
      </c>
      <c r="D15" s="191"/>
      <c r="H15" t="s">
        <v>88</v>
      </c>
      <c r="R15" s="73" t="s">
        <v>267</v>
      </c>
      <c r="S15" s="74" t="s">
        <v>258</v>
      </c>
      <c r="U15" s="73"/>
      <c r="V15" s="74"/>
      <c r="Y15" s="77">
        <f>G4+H4+I4</f>
        <v>224</v>
      </c>
    </row>
    <row r="16" spans="1:32" ht="15" thickBot="1" x14ac:dyDescent="0.35">
      <c r="A16" s="24" t="s">
        <v>36</v>
      </c>
      <c r="B16" s="26" t="s">
        <v>38</v>
      </c>
      <c r="C16" s="33" t="s">
        <v>53</v>
      </c>
      <c r="D16" s="192"/>
      <c r="G16" t="s">
        <v>85</v>
      </c>
      <c r="H16">
        <v>1</v>
      </c>
      <c r="I16" t="s">
        <v>86</v>
      </c>
      <c r="J16" s="6">
        <v>209165200224</v>
      </c>
      <c r="R16" s="73" t="s">
        <v>342</v>
      </c>
      <c r="S16" s="74" t="s">
        <v>258</v>
      </c>
      <c r="U16" s="73"/>
      <c r="V16" s="74"/>
    </row>
    <row r="17" spans="1:31" x14ac:dyDescent="0.3">
      <c r="A17" s="27" t="s">
        <v>39</v>
      </c>
      <c r="B17" s="29" t="s">
        <v>41</v>
      </c>
      <c r="C17" s="29">
        <v>0</v>
      </c>
      <c r="D17" s="193" t="s">
        <v>43</v>
      </c>
      <c r="H17">
        <v>1</v>
      </c>
      <c r="J17" s="6">
        <v>209165200225</v>
      </c>
      <c r="M17">
        <f>G12+H12+I12+J12+K12+L12</f>
        <v>0</v>
      </c>
      <c r="R17" s="73" t="s">
        <v>343</v>
      </c>
      <c r="S17" s="74" t="s">
        <v>258</v>
      </c>
      <c r="U17" s="73"/>
      <c r="V17" s="74"/>
    </row>
    <row r="18" spans="1:31" ht="15" thickBot="1" x14ac:dyDescent="0.35">
      <c r="A18" s="28" t="s">
        <v>40</v>
      </c>
      <c r="B18" s="30" t="s">
        <v>42</v>
      </c>
      <c r="C18" s="34" t="s">
        <v>53</v>
      </c>
      <c r="D18" s="194"/>
      <c r="H18">
        <v>1</v>
      </c>
      <c r="J18" s="6">
        <v>209165200226</v>
      </c>
      <c r="R18" s="73" t="s">
        <v>344</v>
      </c>
      <c r="S18" s="74" t="s">
        <v>258</v>
      </c>
      <c r="U18" s="73"/>
      <c r="V18" s="74"/>
    </row>
    <row r="19" spans="1:31" ht="15" thickBot="1" x14ac:dyDescent="0.35">
      <c r="A19" s="31" t="s">
        <v>44</v>
      </c>
      <c r="B19" s="32" t="s">
        <v>41</v>
      </c>
      <c r="C19" s="32">
        <v>1</v>
      </c>
      <c r="D19" s="195" t="s">
        <v>46</v>
      </c>
      <c r="H19">
        <v>1</v>
      </c>
      <c r="I19" t="s">
        <v>87</v>
      </c>
      <c r="J19" s="6">
        <v>209165200227</v>
      </c>
      <c r="R19" s="75" t="s">
        <v>345</v>
      </c>
      <c r="S19" s="76" t="s">
        <v>87</v>
      </c>
      <c r="U19" s="73"/>
      <c r="V19" s="74"/>
      <c r="Y19" s="144" t="s">
        <v>268</v>
      </c>
      <c r="Z19" s="146"/>
    </row>
    <row r="20" spans="1:31" ht="15" thickBot="1" x14ac:dyDescent="0.35">
      <c r="A20" s="24" t="s">
        <v>45</v>
      </c>
      <c r="B20" s="26" t="s">
        <v>42</v>
      </c>
      <c r="C20" s="33" t="s">
        <v>54</v>
      </c>
      <c r="D20" s="196"/>
      <c r="M20" s="6">
        <v>255255255192</v>
      </c>
      <c r="R20" s="188" t="s">
        <v>346</v>
      </c>
      <c r="S20" s="189"/>
      <c r="U20" s="75"/>
      <c r="V20" s="76"/>
      <c r="Y20" s="71" t="s">
        <v>264</v>
      </c>
      <c r="Z20" s="72" t="s">
        <v>86</v>
      </c>
    </row>
    <row r="21" spans="1:31" ht="15" thickBot="1" x14ac:dyDescent="0.35">
      <c r="A21" s="27" t="s">
        <v>47</v>
      </c>
      <c r="B21" s="29" t="s">
        <v>41</v>
      </c>
      <c r="C21" s="29">
        <v>254</v>
      </c>
      <c r="D21" s="193" t="s">
        <v>49</v>
      </c>
      <c r="H21" t="s">
        <v>89</v>
      </c>
      <c r="M21" s="45" t="s">
        <v>90</v>
      </c>
      <c r="R21" s="71" t="s">
        <v>347</v>
      </c>
      <c r="S21" s="72" t="s">
        <v>86</v>
      </c>
      <c r="U21" s="144"/>
      <c r="V21" s="146"/>
      <c r="Y21" s="73" t="s">
        <v>265</v>
      </c>
      <c r="Z21" s="74"/>
    </row>
    <row r="22" spans="1:31" ht="15" thickBot="1" x14ac:dyDescent="0.35">
      <c r="A22" s="28" t="s">
        <v>48</v>
      </c>
      <c r="B22" s="30" t="s">
        <v>42</v>
      </c>
      <c r="C22" s="30">
        <v>11111110</v>
      </c>
      <c r="D22" s="194"/>
      <c r="H22">
        <v>1</v>
      </c>
      <c r="I22" t="s">
        <v>86</v>
      </c>
      <c r="J22" s="6">
        <v>209165200228</v>
      </c>
      <c r="R22" s="73" t="s">
        <v>348</v>
      </c>
      <c r="S22" s="74" t="s">
        <v>258</v>
      </c>
      <c r="U22" s="71"/>
      <c r="V22" s="72"/>
      <c r="Y22" s="73" t="s">
        <v>279</v>
      </c>
      <c r="Z22" s="74"/>
      <c r="AA22">
        <v>256</v>
      </c>
      <c r="AB22">
        <v>256</v>
      </c>
      <c r="AC22">
        <v>256</v>
      </c>
      <c r="AD22">
        <v>256</v>
      </c>
      <c r="AE22">
        <f>SUM(AA22:AD22)</f>
        <v>1024</v>
      </c>
    </row>
    <row r="23" spans="1:31" ht="15" thickBot="1" x14ac:dyDescent="0.35">
      <c r="A23" s="31" t="s">
        <v>50</v>
      </c>
      <c r="B23" s="32" t="s">
        <v>41</v>
      </c>
      <c r="C23" s="32">
        <v>255</v>
      </c>
      <c r="D23" s="195" t="s">
        <v>52</v>
      </c>
      <c r="H23">
        <v>1</v>
      </c>
      <c r="J23" s="6">
        <v>209165200229</v>
      </c>
      <c r="R23" s="73" t="s">
        <v>349</v>
      </c>
      <c r="S23" s="74" t="s">
        <v>258</v>
      </c>
      <c r="U23" s="73"/>
      <c r="V23" s="74"/>
      <c r="Y23" s="71" t="s">
        <v>278</v>
      </c>
      <c r="Z23" s="72" t="s">
        <v>87</v>
      </c>
    </row>
    <row r="24" spans="1:31" ht="15" thickBot="1" x14ac:dyDescent="0.35">
      <c r="A24" s="24" t="s">
        <v>51</v>
      </c>
      <c r="B24" s="26" t="s">
        <v>42</v>
      </c>
      <c r="C24" s="26">
        <v>11111111</v>
      </c>
      <c r="D24" s="196"/>
      <c r="H24">
        <v>1</v>
      </c>
      <c r="J24" s="6">
        <v>209165200230</v>
      </c>
      <c r="R24" s="73" t="s">
        <v>350</v>
      </c>
      <c r="S24" s="74" t="s">
        <v>258</v>
      </c>
      <c r="U24" s="73"/>
      <c r="V24" s="74"/>
      <c r="Y24" s="84"/>
      <c r="Z24" s="85"/>
      <c r="AA24" s="197" t="s">
        <v>284</v>
      </c>
      <c r="AB24" s="198"/>
    </row>
    <row r="25" spans="1:31" ht="15" thickBot="1" x14ac:dyDescent="0.35">
      <c r="H25">
        <v>1</v>
      </c>
      <c r="I25" t="s">
        <v>87</v>
      </c>
      <c r="J25" s="6">
        <v>209165200231</v>
      </c>
      <c r="R25" s="73" t="s">
        <v>351</v>
      </c>
      <c r="S25" s="74" t="s">
        <v>258</v>
      </c>
      <c r="U25" s="73"/>
      <c r="V25" s="74"/>
      <c r="Y25" s="78"/>
      <c r="Z25" s="79"/>
      <c r="AA25" s="10" t="s">
        <v>280</v>
      </c>
      <c r="AB25" s="72" t="s">
        <v>86</v>
      </c>
    </row>
    <row r="26" spans="1:31" ht="28.2" thickBot="1" x14ac:dyDescent="0.35">
      <c r="A26" s="35" t="s">
        <v>57</v>
      </c>
      <c r="B26" s="35" t="s">
        <v>58</v>
      </c>
      <c r="R26" s="73" t="s">
        <v>352</v>
      </c>
      <c r="S26" s="74" t="s">
        <v>258</v>
      </c>
      <c r="U26" s="73"/>
      <c r="V26" s="74"/>
      <c r="Y26" s="199" t="s">
        <v>269</v>
      </c>
      <c r="Z26" s="200"/>
      <c r="AA26" s="82" t="s">
        <v>281</v>
      </c>
      <c r="AB26" s="74"/>
    </row>
    <row r="27" spans="1:31" ht="15.6" thickTop="1" thickBot="1" x14ac:dyDescent="0.35">
      <c r="A27" s="36" t="s">
        <v>59</v>
      </c>
      <c r="B27" s="36" t="s">
        <v>60</v>
      </c>
      <c r="H27" t="s">
        <v>89</v>
      </c>
      <c r="R27" s="73" t="s">
        <v>353</v>
      </c>
      <c r="S27" s="74" t="s">
        <v>258</v>
      </c>
      <c r="U27" s="73"/>
      <c r="V27" s="74"/>
      <c r="Y27" s="78" t="s">
        <v>280</v>
      </c>
      <c r="Z27" s="79" t="s">
        <v>86</v>
      </c>
      <c r="AA27" s="82" t="s">
        <v>285</v>
      </c>
      <c r="AB27" s="74"/>
    </row>
    <row r="28" spans="1:31" ht="15" thickBot="1" x14ac:dyDescent="0.35">
      <c r="A28" s="37" t="s">
        <v>61</v>
      </c>
      <c r="B28" s="37" t="s">
        <v>62</v>
      </c>
      <c r="J28" s="6">
        <v>209165200232</v>
      </c>
      <c r="R28" s="75" t="s">
        <v>354</v>
      </c>
      <c r="S28" s="76" t="s">
        <v>87</v>
      </c>
      <c r="U28" s="73"/>
      <c r="V28" s="74"/>
      <c r="Y28" s="80" t="s">
        <v>281</v>
      </c>
      <c r="Z28" s="81"/>
      <c r="AA28" s="83" t="s">
        <v>286</v>
      </c>
      <c r="AB28" s="76" t="s">
        <v>87</v>
      </c>
    </row>
    <row r="29" spans="1:31" ht="15" thickBot="1" x14ac:dyDescent="0.35">
      <c r="A29" s="38" t="s">
        <v>63</v>
      </c>
      <c r="B29" s="38" t="s">
        <v>64</v>
      </c>
      <c r="R29" s="144" t="s">
        <v>270</v>
      </c>
      <c r="S29" s="146"/>
      <c r="U29" s="73"/>
      <c r="V29" s="74"/>
      <c r="Y29" s="80" t="s">
        <v>282</v>
      </c>
      <c r="Z29" s="81"/>
      <c r="AA29" s="197" t="s">
        <v>287</v>
      </c>
      <c r="AB29" s="198"/>
    </row>
    <row r="30" spans="1:31" ht="15" thickBot="1" x14ac:dyDescent="0.35">
      <c r="R30" s="71" t="s">
        <v>355</v>
      </c>
      <c r="S30" s="72" t="s">
        <v>86</v>
      </c>
      <c r="U30" s="75"/>
      <c r="V30" s="76"/>
      <c r="Y30" s="78" t="s">
        <v>283</v>
      </c>
      <c r="Z30" s="79" t="s">
        <v>87</v>
      </c>
      <c r="AA30" s="10" t="s">
        <v>288</v>
      </c>
      <c r="AB30" s="72" t="s">
        <v>86</v>
      </c>
    </row>
    <row r="31" spans="1:31" ht="15" thickBot="1" x14ac:dyDescent="0.35">
      <c r="R31" s="73" t="s">
        <v>356</v>
      </c>
      <c r="S31" s="74" t="s">
        <v>258</v>
      </c>
      <c r="U31" s="144"/>
      <c r="V31" s="146"/>
      <c r="Y31" s="86"/>
      <c r="Z31" s="87"/>
      <c r="AA31" s="82" t="s">
        <v>289</v>
      </c>
      <c r="AB31" s="74"/>
    </row>
    <row r="32" spans="1:31" x14ac:dyDescent="0.3">
      <c r="A32" s="190" t="s">
        <v>65</v>
      </c>
      <c r="B32" s="190"/>
      <c r="R32" s="73" t="s">
        <v>357</v>
      </c>
      <c r="S32" s="74" t="s">
        <v>258</v>
      </c>
      <c r="U32" s="71"/>
      <c r="V32" s="72"/>
      <c r="Y32" s="86"/>
      <c r="Z32" s="87"/>
      <c r="AA32" s="82" t="s">
        <v>290</v>
      </c>
      <c r="AB32" s="74"/>
    </row>
    <row r="33" spans="1:28" ht="15" thickBot="1" x14ac:dyDescent="0.35">
      <c r="A33" s="39" t="s">
        <v>66</v>
      </c>
      <c r="B33" t="s">
        <v>71</v>
      </c>
      <c r="R33" s="73" t="s">
        <v>358</v>
      </c>
      <c r="S33" s="74" t="s">
        <v>258</v>
      </c>
      <c r="U33" s="73"/>
      <c r="V33" s="74"/>
      <c r="Y33" s="88"/>
      <c r="Z33" s="89"/>
      <c r="AA33" s="83" t="s">
        <v>291</v>
      </c>
      <c r="AB33" s="76" t="s">
        <v>87</v>
      </c>
    </row>
    <row r="34" spans="1:28" x14ac:dyDescent="0.3">
      <c r="A34" s="39" t="s">
        <v>67</v>
      </c>
      <c r="B34" t="s">
        <v>72</v>
      </c>
      <c r="R34" s="73" t="s">
        <v>359</v>
      </c>
      <c r="S34" s="74" t="s">
        <v>258</v>
      </c>
      <c r="U34" s="73"/>
      <c r="V34" s="74"/>
      <c r="AA34" s="201" t="s">
        <v>300</v>
      </c>
      <c r="AB34" s="198"/>
    </row>
    <row r="35" spans="1:28" x14ac:dyDescent="0.3">
      <c r="A35" s="39" t="s">
        <v>68</v>
      </c>
      <c r="B35" t="s">
        <v>73</v>
      </c>
      <c r="R35" s="73" t="s">
        <v>360</v>
      </c>
      <c r="S35" s="74" t="s">
        <v>258</v>
      </c>
      <c r="U35" s="73"/>
      <c r="V35" s="74"/>
      <c r="AA35" s="71" t="s">
        <v>301</v>
      </c>
      <c r="AB35" s="72" t="s">
        <v>86</v>
      </c>
    </row>
    <row r="36" spans="1:28" x14ac:dyDescent="0.3">
      <c r="A36" s="39" t="s">
        <v>69</v>
      </c>
      <c r="B36" t="s">
        <v>74</v>
      </c>
      <c r="R36" s="73" t="s">
        <v>361</v>
      </c>
      <c r="S36" s="74" t="s">
        <v>258</v>
      </c>
      <c r="U36" s="73"/>
      <c r="V36" s="74"/>
      <c r="AA36" s="73" t="s">
        <v>302</v>
      </c>
      <c r="AB36" s="74"/>
    </row>
    <row r="37" spans="1:28" ht="15" thickBot="1" x14ac:dyDescent="0.35">
      <c r="A37" s="39" t="s">
        <v>70</v>
      </c>
      <c r="B37" t="s">
        <v>75</v>
      </c>
      <c r="R37" s="75" t="s">
        <v>362</v>
      </c>
      <c r="S37" s="76" t="s">
        <v>87</v>
      </c>
      <c r="U37" s="73"/>
      <c r="V37" s="74"/>
      <c r="AA37" s="73" t="s">
        <v>303</v>
      </c>
      <c r="AB37" s="74"/>
    </row>
    <row r="38" spans="1:28" ht="15" thickBot="1" x14ac:dyDescent="0.35">
      <c r="R38" s="144" t="s">
        <v>271</v>
      </c>
      <c r="S38" s="146"/>
      <c r="U38" s="73"/>
      <c r="V38" s="74"/>
      <c r="AA38" s="75" t="s">
        <v>304</v>
      </c>
      <c r="AB38" s="76" t="s">
        <v>87</v>
      </c>
    </row>
    <row r="39" spans="1:28" x14ac:dyDescent="0.3">
      <c r="R39" s="71" t="s">
        <v>363</v>
      </c>
      <c r="S39" s="72" t="s">
        <v>86</v>
      </c>
      <c r="U39" s="73"/>
      <c r="V39" s="74"/>
    </row>
    <row r="40" spans="1:28" ht="15" thickBot="1" x14ac:dyDescent="0.35">
      <c r="R40" s="73" t="s">
        <v>364</v>
      </c>
      <c r="S40" s="74" t="s">
        <v>258</v>
      </c>
      <c r="U40" s="75"/>
      <c r="V40" s="76"/>
    </row>
    <row r="41" spans="1:28" x14ac:dyDescent="0.3">
      <c r="R41" s="73" t="s">
        <v>365</v>
      </c>
      <c r="S41" s="74" t="s">
        <v>258</v>
      </c>
      <c r="U41" s="201"/>
      <c r="V41" s="198"/>
    </row>
    <row r="42" spans="1:28" x14ac:dyDescent="0.3">
      <c r="R42" s="73" t="s">
        <v>366</v>
      </c>
      <c r="S42" s="74" t="s">
        <v>258</v>
      </c>
      <c r="U42" s="71"/>
      <c r="V42" s="72"/>
    </row>
    <row r="43" spans="1:28" x14ac:dyDescent="0.3">
      <c r="R43" s="73" t="s">
        <v>367</v>
      </c>
      <c r="S43" s="74" t="s">
        <v>258</v>
      </c>
      <c r="U43" s="73"/>
      <c r="V43" s="74"/>
    </row>
    <row r="44" spans="1:28" x14ac:dyDescent="0.3">
      <c r="R44" s="73" t="s">
        <v>368</v>
      </c>
      <c r="S44" s="74" t="s">
        <v>258</v>
      </c>
      <c r="U44" s="73"/>
      <c r="V44" s="74"/>
    </row>
    <row r="45" spans="1:28" x14ac:dyDescent="0.3">
      <c r="R45" s="73" t="s">
        <v>369</v>
      </c>
      <c r="S45" s="74" t="s">
        <v>258</v>
      </c>
      <c r="U45" s="73"/>
      <c r="V45" s="74"/>
    </row>
    <row r="46" spans="1:28" ht="15" thickBot="1" x14ac:dyDescent="0.35">
      <c r="R46" s="75" t="s">
        <v>370</v>
      </c>
      <c r="S46" s="76" t="s">
        <v>87</v>
      </c>
      <c r="U46" s="73"/>
      <c r="V46" s="74"/>
    </row>
    <row r="47" spans="1:28" ht="15" thickBot="1" x14ac:dyDescent="0.35">
      <c r="R47" s="144" t="s">
        <v>272</v>
      </c>
      <c r="S47" s="146"/>
      <c r="U47" s="73"/>
      <c r="V47" s="74"/>
    </row>
    <row r="48" spans="1:28" x14ac:dyDescent="0.3">
      <c r="R48" s="71" t="s">
        <v>373</v>
      </c>
      <c r="S48" s="72" t="s">
        <v>86</v>
      </c>
      <c r="U48" s="73"/>
      <c r="V48" s="74"/>
    </row>
    <row r="49" spans="1:26" x14ac:dyDescent="0.3">
      <c r="R49" s="73" t="s">
        <v>374</v>
      </c>
      <c r="S49" s="74" t="s">
        <v>258</v>
      </c>
      <c r="U49" s="73"/>
      <c r="V49" s="74"/>
    </row>
    <row r="50" spans="1:26" ht="15" thickBot="1" x14ac:dyDescent="0.35">
      <c r="R50" s="73" t="s">
        <v>375</v>
      </c>
      <c r="S50" s="74" t="s">
        <v>258</v>
      </c>
      <c r="U50" s="75"/>
      <c r="V50" s="76"/>
    </row>
    <row r="51" spans="1:26" ht="15" thickBot="1" x14ac:dyDescent="0.35">
      <c r="R51" s="73" t="s">
        <v>376</v>
      </c>
      <c r="S51" s="74" t="s">
        <v>258</v>
      </c>
      <c r="U51" s="144"/>
      <c r="V51" s="146"/>
      <c r="Y51" s="144" t="s">
        <v>305</v>
      </c>
      <c r="Z51" s="146"/>
    </row>
    <row r="52" spans="1:26" x14ac:dyDescent="0.3">
      <c r="R52" s="73" t="s">
        <v>377</v>
      </c>
      <c r="S52" s="74" t="s">
        <v>258</v>
      </c>
      <c r="U52" s="71"/>
      <c r="V52" s="72"/>
      <c r="Y52" s="71" t="s">
        <v>273</v>
      </c>
      <c r="Z52" s="72" t="s">
        <v>86</v>
      </c>
    </row>
    <row r="53" spans="1:26" ht="15" thickBot="1" x14ac:dyDescent="0.35">
      <c r="R53" s="73" t="s">
        <v>378</v>
      </c>
      <c r="S53" s="74" t="s">
        <v>258</v>
      </c>
      <c r="U53" s="73"/>
      <c r="V53" s="74"/>
      <c r="Y53" s="73" t="s">
        <v>275</v>
      </c>
      <c r="Z53" s="74"/>
    </row>
    <row r="54" spans="1:26" ht="28.2" thickBot="1" x14ac:dyDescent="0.35">
      <c r="A54" s="35" t="s">
        <v>76</v>
      </c>
      <c r="B54" s="35" t="s">
        <v>35</v>
      </c>
      <c r="C54" s="35" t="s">
        <v>77</v>
      </c>
      <c r="D54" s="35" t="s">
        <v>78</v>
      </c>
      <c r="R54" s="73" t="s">
        <v>379</v>
      </c>
      <c r="S54" s="74" t="s">
        <v>258</v>
      </c>
      <c r="U54" s="75"/>
      <c r="V54" s="76"/>
      <c r="Y54" s="75" t="s">
        <v>274</v>
      </c>
      <c r="Z54" s="76" t="s">
        <v>87</v>
      </c>
    </row>
    <row r="55" spans="1:26" ht="15.6" thickTop="1" thickBot="1" x14ac:dyDescent="0.35">
      <c r="A55" s="182" t="s">
        <v>21</v>
      </c>
      <c r="B55" s="182" t="s">
        <v>79</v>
      </c>
      <c r="C55" s="40" t="s">
        <v>80</v>
      </c>
      <c r="D55" s="162">
        <v>16777214</v>
      </c>
      <c r="R55" s="75" t="s">
        <v>380</v>
      </c>
      <c r="S55" s="76" t="s">
        <v>87</v>
      </c>
      <c r="U55" s="144"/>
      <c r="V55" s="146"/>
      <c r="Y55" s="144" t="s">
        <v>269</v>
      </c>
      <c r="Z55" s="146"/>
    </row>
    <row r="56" spans="1:26" ht="15" thickBot="1" x14ac:dyDescent="0.35">
      <c r="A56" s="181"/>
      <c r="B56" s="181"/>
      <c r="C56" s="41">
        <v>1.1111111E+31</v>
      </c>
      <c r="D56" s="150"/>
      <c r="R56" s="188" t="s">
        <v>296</v>
      </c>
      <c r="S56" s="189"/>
      <c r="U56" s="71"/>
      <c r="V56" s="72"/>
      <c r="Y56" s="71"/>
      <c r="Z56" s="72"/>
    </row>
    <row r="57" spans="1:26" x14ac:dyDescent="0.3">
      <c r="A57" s="183" t="s">
        <v>23</v>
      </c>
      <c r="B57" s="183" t="s">
        <v>81</v>
      </c>
      <c r="C57" s="42" t="s">
        <v>82</v>
      </c>
      <c r="D57" s="155">
        <v>65534</v>
      </c>
      <c r="R57" s="71" t="s">
        <v>381</v>
      </c>
      <c r="S57" s="72" t="s">
        <v>86</v>
      </c>
      <c r="U57" s="73"/>
      <c r="V57" s="74"/>
      <c r="Y57" s="73"/>
      <c r="Z57" s="74"/>
    </row>
    <row r="58" spans="1:26" ht="15" thickBot="1" x14ac:dyDescent="0.35">
      <c r="A58" s="184"/>
      <c r="B58" s="184"/>
      <c r="C58" s="43">
        <v>1.1111111111111101E+31</v>
      </c>
      <c r="D58" s="156"/>
      <c r="R58" s="73" t="s">
        <v>382</v>
      </c>
      <c r="S58" s="74" t="s">
        <v>258</v>
      </c>
      <c r="U58" s="75"/>
      <c r="V58" s="76"/>
      <c r="Y58" s="75"/>
      <c r="Z58" s="76"/>
    </row>
    <row r="59" spans="1:26" ht="15" thickBot="1" x14ac:dyDescent="0.35">
      <c r="A59" s="180" t="s">
        <v>25</v>
      </c>
      <c r="B59" s="180" t="s">
        <v>83</v>
      </c>
      <c r="C59" s="44" t="s">
        <v>84</v>
      </c>
      <c r="D59" s="147">
        <v>254</v>
      </c>
      <c r="R59" s="73" t="s">
        <v>383</v>
      </c>
      <c r="S59" s="74" t="s">
        <v>258</v>
      </c>
      <c r="U59" s="144"/>
      <c r="V59" s="146"/>
      <c r="Y59" s="144" t="s">
        <v>270</v>
      </c>
      <c r="Z59" s="146"/>
    </row>
    <row r="60" spans="1:26" ht="15" thickBot="1" x14ac:dyDescent="0.35">
      <c r="A60" s="181"/>
      <c r="B60" s="181"/>
      <c r="C60" s="41">
        <v>1.1111111111111101E+31</v>
      </c>
      <c r="D60" s="148"/>
      <c r="R60" s="73" t="s">
        <v>384</v>
      </c>
      <c r="S60" s="74" t="s">
        <v>258</v>
      </c>
      <c r="U60" s="71"/>
      <c r="V60" s="72"/>
      <c r="Y60" s="71"/>
      <c r="Z60" s="72"/>
    </row>
    <row r="61" spans="1:26" x14ac:dyDescent="0.3">
      <c r="R61" s="73" t="s">
        <v>385</v>
      </c>
      <c r="S61" s="74" t="s">
        <v>258</v>
      </c>
      <c r="U61" s="73"/>
      <c r="V61" s="74"/>
      <c r="Y61" s="73"/>
      <c r="Z61" s="74"/>
    </row>
    <row r="62" spans="1:26" ht="21" thickBot="1" x14ac:dyDescent="0.35">
      <c r="A62" s="65" t="s">
        <v>250</v>
      </c>
      <c r="R62" s="73" t="s">
        <v>386</v>
      </c>
      <c r="S62" s="74" t="s">
        <v>258</v>
      </c>
      <c r="U62" s="75"/>
      <c r="V62" s="76"/>
      <c r="Y62" s="75"/>
      <c r="Z62" s="76"/>
    </row>
    <row r="63" spans="1:26" ht="21.6" thickBot="1" x14ac:dyDescent="0.35">
      <c r="A63" s="66" t="s">
        <v>251</v>
      </c>
      <c r="R63" s="73" t="s">
        <v>387</v>
      </c>
      <c r="S63" s="74" t="s">
        <v>258</v>
      </c>
      <c r="U63" s="144"/>
      <c r="V63" s="146"/>
      <c r="Y63" s="144" t="s">
        <v>271</v>
      </c>
      <c r="Z63" s="146"/>
    </row>
    <row r="64" spans="1:26" ht="21.6" thickBot="1" x14ac:dyDescent="0.35">
      <c r="A64" s="66" t="s">
        <v>252</v>
      </c>
      <c r="R64" s="75" t="s">
        <v>388</v>
      </c>
      <c r="S64" s="76" t="s">
        <v>87</v>
      </c>
      <c r="U64" s="71"/>
      <c r="V64" s="72"/>
      <c r="Y64" s="71"/>
      <c r="Z64" s="72"/>
    </row>
    <row r="65" spans="1:26" ht="15" thickBot="1" x14ac:dyDescent="0.35">
      <c r="A65" s="159" t="s">
        <v>76</v>
      </c>
      <c r="B65" s="159" t="s">
        <v>35</v>
      </c>
      <c r="C65" s="46" t="s">
        <v>209</v>
      </c>
      <c r="D65" s="159" t="s">
        <v>211</v>
      </c>
      <c r="E65" s="159" t="s">
        <v>78</v>
      </c>
      <c r="R65" s="144" t="s">
        <v>270</v>
      </c>
      <c r="S65" s="146"/>
      <c r="U65" s="73"/>
      <c r="V65" s="74"/>
      <c r="Y65" s="73"/>
      <c r="Z65" s="74"/>
    </row>
    <row r="66" spans="1:26" ht="15" thickBot="1" x14ac:dyDescent="0.35">
      <c r="A66" s="160"/>
      <c r="B66" s="160"/>
      <c r="C66" s="52" t="s">
        <v>210</v>
      </c>
      <c r="D66" s="160"/>
      <c r="E66" s="160"/>
      <c r="R66" s="71" t="s">
        <v>355</v>
      </c>
      <c r="S66" s="72" t="s">
        <v>86</v>
      </c>
      <c r="U66" s="75"/>
      <c r="V66" s="76"/>
      <c r="Y66" s="75"/>
      <c r="Z66" s="76"/>
    </row>
    <row r="67" spans="1:26" ht="15.6" thickTop="1" thickBot="1" x14ac:dyDescent="0.35">
      <c r="A67" s="161" t="s">
        <v>26</v>
      </c>
      <c r="B67" s="162">
        <v>255255255128</v>
      </c>
      <c r="C67" s="54" t="s">
        <v>212</v>
      </c>
      <c r="D67" s="163">
        <v>2</v>
      </c>
      <c r="E67" s="161">
        <v>126</v>
      </c>
      <c r="R67" s="73" t="s">
        <v>356</v>
      </c>
      <c r="S67" s="74" t="s">
        <v>258</v>
      </c>
      <c r="U67" s="144"/>
      <c r="V67" s="146"/>
      <c r="Y67" s="144" t="s">
        <v>297</v>
      </c>
      <c r="Z67" s="146"/>
    </row>
    <row r="68" spans="1:26" ht="15" thickBot="1" x14ac:dyDescent="0.35">
      <c r="A68" s="148"/>
      <c r="B68" s="150"/>
      <c r="C68" s="55">
        <v>1.1111111111111101E+31</v>
      </c>
      <c r="D68" s="152"/>
      <c r="E68" s="148"/>
      <c r="R68" s="73" t="s">
        <v>357</v>
      </c>
      <c r="S68" s="74" t="s">
        <v>258</v>
      </c>
      <c r="U68" s="71"/>
      <c r="V68" s="72"/>
      <c r="Y68" s="71"/>
      <c r="Z68" s="72"/>
    </row>
    <row r="69" spans="1:26" x14ac:dyDescent="0.3">
      <c r="A69" s="153" t="s">
        <v>27</v>
      </c>
      <c r="B69" s="155">
        <v>255255255192</v>
      </c>
      <c r="C69" s="56" t="s">
        <v>213</v>
      </c>
      <c r="D69" s="157">
        <v>4</v>
      </c>
      <c r="E69" s="153">
        <v>62</v>
      </c>
      <c r="R69" s="73" t="s">
        <v>358</v>
      </c>
      <c r="S69" s="74" t="s">
        <v>258</v>
      </c>
      <c r="U69" s="73"/>
      <c r="V69" s="74"/>
      <c r="Y69" s="73"/>
      <c r="Z69" s="74"/>
    </row>
    <row r="70" spans="1:26" ht="15" thickBot="1" x14ac:dyDescent="0.35">
      <c r="A70" s="154"/>
      <c r="B70" s="156"/>
      <c r="C70" s="57">
        <v>1.1111111111111101E+31</v>
      </c>
      <c r="D70" s="158"/>
      <c r="E70" s="154"/>
      <c r="R70" s="73" t="s">
        <v>359</v>
      </c>
      <c r="S70" s="74" t="s">
        <v>258</v>
      </c>
      <c r="U70" s="75"/>
      <c r="V70" s="76"/>
      <c r="Y70" s="75"/>
      <c r="Z70" s="76"/>
    </row>
    <row r="71" spans="1:26" ht="15" thickBot="1" x14ac:dyDescent="0.35">
      <c r="A71" s="147" t="s">
        <v>28</v>
      </c>
      <c r="B71" s="149">
        <v>255255255224</v>
      </c>
      <c r="C71" s="58" t="s">
        <v>214</v>
      </c>
      <c r="D71" s="151">
        <v>8</v>
      </c>
      <c r="E71" s="147">
        <v>30</v>
      </c>
      <c r="R71" s="73" t="s">
        <v>360</v>
      </c>
      <c r="S71" s="74" t="s">
        <v>258</v>
      </c>
      <c r="U71" s="144"/>
      <c r="V71" s="146"/>
      <c r="Y71" s="144" t="s">
        <v>298</v>
      </c>
      <c r="Z71" s="146"/>
    </row>
    <row r="72" spans="1:26" ht="15" thickBot="1" x14ac:dyDescent="0.35">
      <c r="A72" s="148"/>
      <c r="B72" s="150"/>
      <c r="C72" s="55">
        <v>1.1111111111111101E+31</v>
      </c>
      <c r="D72" s="152"/>
      <c r="E72" s="148"/>
      <c r="R72" s="73" t="s">
        <v>361</v>
      </c>
      <c r="S72" s="74" t="s">
        <v>258</v>
      </c>
      <c r="U72" s="71"/>
      <c r="V72" s="72"/>
      <c r="Y72" s="71"/>
      <c r="Z72" s="72"/>
    </row>
    <row r="73" spans="1:26" ht="15" thickBot="1" x14ac:dyDescent="0.35">
      <c r="A73" s="153" t="s">
        <v>29</v>
      </c>
      <c r="B73" s="155">
        <v>255255255240</v>
      </c>
      <c r="C73" s="56" t="s">
        <v>215</v>
      </c>
      <c r="D73" s="157">
        <v>16</v>
      </c>
      <c r="E73" s="153">
        <v>14</v>
      </c>
      <c r="R73" s="75" t="s">
        <v>362</v>
      </c>
      <c r="S73" s="76" t="s">
        <v>87</v>
      </c>
      <c r="U73" s="73"/>
      <c r="V73" s="74"/>
      <c r="Y73" s="73"/>
      <c r="Z73" s="74"/>
    </row>
    <row r="74" spans="1:26" ht="15" thickBot="1" x14ac:dyDescent="0.35">
      <c r="A74" s="154"/>
      <c r="B74" s="156"/>
      <c r="C74" s="57">
        <v>1.1111111111111101E+31</v>
      </c>
      <c r="D74" s="158"/>
      <c r="E74" s="154"/>
      <c r="R74" s="144" t="s">
        <v>271</v>
      </c>
      <c r="S74" s="146"/>
      <c r="U74" s="75"/>
      <c r="V74" s="76"/>
      <c r="Y74" s="75"/>
      <c r="Z74" s="76"/>
    </row>
    <row r="75" spans="1:26" x14ac:dyDescent="0.3">
      <c r="A75" s="147" t="s">
        <v>30</v>
      </c>
      <c r="B75" s="149">
        <v>255255255248</v>
      </c>
      <c r="C75" s="58" t="s">
        <v>216</v>
      </c>
      <c r="D75" s="151">
        <v>32</v>
      </c>
      <c r="E75" s="147">
        <v>6</v>
      </c>
      <c r="R75" s="71" t="s">
        <v>363</v>
      </c>
      <c r="S75" s="72" t="s">
        <v>86</v>
      </c>
    </row>
    <row r="76" spans="1:26" ht="15" thickBot="1" x14ac:dyDescent="0.35">
      <c r="A76" s="148"/>
      <c r="B76" s="150"/>
      <c r="C76" s="55">
        <v>1.1111111111111101E+31</v>
      </c>
      <c r="D76" s="152"/>
      <c r="E76" s="148"/>
      <c r="R76" s="73" t="s">
        <v>364</v>
      </c>
      <c r="S76" s="74" t="s">
        <v>258</v>
      </c>
    </row>
    <row r="77" spans="1:26" x14ac:dyDescent="0.3">
      <c r="A77" s="153" t="s">
        <v>31</v>
      </c>
      <c r="B77" s="155">
        <v>255255255252</v>
      </c>
      <c r="C77" s="56" t="s">
        <v>217</v>
      </c>
      <c r="D77" s="157">
        <v>64</v>
      </c>
      <c r="E77" s="153">
        <v>2</v>
      </c>
      <c r="R77" s="73" t="s">
        <v>365</v>
      </c>
      <c r="S77" s="74" t="s">
        <v>258</v>
      </c>
    </row>
    <row r="78" spans="1:26" ht="15" thickBot="1" x14ac:dyDescent="0.35">
      <c r="A78" s="154"/>
      <c r="B78" s="156"/>
      <c r="C78" s="57">
        <v>1.1111111111111101E+31</v>
      </c>
      <c r="D78" s="158"/>
      <c r="E78" s="154"/>
      <c r="R78" s="73" t="s">
        <v>366</v>
      </c>
      <c r="S78" s="74" t="s">
        <v>258</v>
      </c>
    </row>
    <row r="79" spans="1:26" x14ac:dyDescent="0.3">
      <c r="R79" s="73" t="s">
        <v>367</v>
      </c>
      <c r="S79" s="74" t="s">
        <v>258</v>
      </c>
    </row>
    <row r="80" spans="1:26" x14ac:dyDescent="0.3">
      <c r="R80" s="73" t="s">
        <v>368</v>
      </c>
      <c r="S80" s="74" t="s">
        <v>258</v>
      </c>
    </row>
    <row r="81" spans="1:19" ht="20.399999999999999" x14ac:dyDescent="0.35">
      <c r="A81" s="53" t="s">
        <v>208</v>
      </c>
      <c r="R81" s="73" t="s">
        <v>369</v>
      </c>
      <c r="S81" s="74" t="s">
        <v>258</v>
      </c>
    </row>
    <row r="82" spans="1:19" ht="15" thickBot="1" x14ac:dyDescent="0.35">
      <c r="R82" s="75" t="s">
        <v>370</v>
      </c>
      <c r="S82" s="76" t="s">
        <v>87</v>
      </c>
    </row>
    <row r="83" spans="1:19" ht="26.4" x14ac:dyDescent="0.3">
      <c r="A83" s="46" t="s">
        <v>148</v>
      </c>
      <c r="B83" s="46" t="s">
        <v>150</v>
      </c>
      <c r="C83" s="159" t="s">
        <v>87</v>
      </c>
    </row>
    <row r="84" spans="1:19" ht="27" thickBot="1" x14ac:dyDescent="0.35">
      <c r="A84" s="47" t="s">
        <v>149</v>
      </c>
      <c r="B84" s="47" t="s">
        <v>151</v>
      </c>
      <c r="C84" s="160"/>
    </row>
    <row r="85" spans="1:19" ht="15.6" thickTop="1" thickBot="1" x14ac:dyDescent="0.35">
      <c r="A85" s="48" t="s">
        <v>152</v>
      </c>
      <c r="B85" s="48" t="s">
        <v>153</v>
      </c>
      <c r="C85" s="48" t="s">
        <v>154</v>
      </c>
    </row>
    <row r="86" spans="1:19" ht="15" thickBot="1" x14ac:dyDescent="0.35">
      <c r="A86" s="49" t="s">
        <v>155</v>
      </c>
      <c r="B86" s="49" t="s">
        <v>156</v>
      </c>
      <c r="C86" s="49" t="s">
        <v>157</v>
      </c>
    </row>
    <row r="87" spans="1:19" ht="15" thickBot="1" x14ac:dyDescent="0.35">
      <c r="A87" s="50" t="s">
        <v>158</v>
      </c>
      <c r="B87" s="50" t="s">
        <v>159</v>
      </c>
      <c r="C87" s="50" t="s">
        <v>160</v>
      </c>
    </row>
    <row r="88" spans="1:19" ht="15" thickBot="1" x14ac:dyDescent="0.35">
      <c r="A88" s="49" t="s">
        <v>161</v>
      </c>
      <c r="B88" s="49" t="s">
        <v>162</v>
      </c>
      <c r="C88" s="49" t="s">
        <v>163</v>
      </c>
    </row>
    <row r="89" spans="1:19" ht="15" thickBot="1" x14ac:dyDescent="0.35">
      <c r="A89" s="50" t="s">
        <v>164</v>
      </c>
      <c r="B89" s="50" t="s">
        <v>165</v>
      </c>
      <c r="C89" s="50" t="s">
        <v>166</v>
      </c>
    </row>
    <row r="90" spans="1:19" ht="15" thickBot="1" x14ac:dyDescent="0.35">
      <c r="A90" s="49" t="s">
        <v>167</v>
      </c>
      <c r="B90" s="49" t="s">
        <v>168</v>
      </c>
      <c r="C90" s="49" t="s">
        <v>169</v>
      </c>
    </row>
    <row r="91" spans="1:19" ht="15" thickBot="1" x14ac:dyDescent="0.35">
      <c r="A91" s="50" t="s">
        <v>170</v>
      </c>
      <c r="B91" s="50" t="s">
        <v>171</v>
      </c>
      <c r="C91" s="50" t="s">
        <v>172</v>
      </c>
    </row>
    <row r="92" spans="1:19" ht="15" thickBot="1" x14ac:dyDescent="0.35">
      <c r="A92" s="49" t="s">
        <v>173</v>
      </c>
      <c r="B92" s="49" t="s">
        <v>174</v>
      </c>
      <c r="C92" s="49" t="s">
        <v>175</v>
      </c>
    </row>
    <row r="93" spans="1:19" ht="15" thickBot="1" x14ac:dyDescent="0.35">
      <c r="A93" s="19" t="s">
        <v>176</v>
      </c>
      <c r="B93" s="19" t="s">
        <v>176</v>
      </c>
      <c r="C93" s="19" t="s">
        <v>176</v>
      </c>
    </row>
    <row r="94" spans="1:19" ht="15" thickBot="1" x14ac:dyDescent="0.35">
      <c r="A94" s="49" t="s">
        <v>177</v>
      </c>
      <c r="B94" s="49" t="s">
        <v>178</v>
      </c>
      <c r="C94" s="51">
        <v>10255255255</v>
      </c>
    </row>
    <row r="95" spans="1:19" ht="15" thickBot="1" x14ac:dyDescent="0.35"/>
    <row r="96" spans="1:19" ht="26.4" x14ac:dyDescent="0.3">
      <c r="A96" s="46" t="s">
        <v>148</v>
      </c>
      <c r="B96" s="46" t="s">
        <v>150</v>
      </c>
      <c r="C96" s="159" t="s">
        <v>87</v>
      </c>
    </row>
    <row r="97" spans="1:5" ht="27" thickBot="1" x14ac:dyDescent="0.35">
      <c r="A97" s="47" t="s">
        <v>179</v>
      </c>
      <c r="B97" s="47" t="s">
        <v>180</v>
      </c>
      <c r="C97" s="160"/>
    </row>
    <row r="98" spans="1:5" ht="15.6" thickTop="1" thickBot="1" x14ac:dyDescent="0.35">
      <c r="A98" s="48" t="s">
        <v>181</v>
      </c>
      <c r="B98" s="48" t="s">
        <v>182</v>
      </c>
      <c r="C98" s="48" t="s">
        <v>183</v>
      </c>
    </row>
    <row r="99" spans="1:5" ht="15" thickBot="1" x14ac:dyDescent="0.35">
      <c r="A99" s="49" t="s">
        <v>184</v>
      </c>
      <c r="B99" s="49" t="s">
        <v>185</v>
      </c>
      <c r="C99" s="49" t="s">
        <v>186</v>
      </c>
    </row>
    <row r="100" spans="1:5" ht="15" thickBot="1" x14ac:dyDescent="0.35">
      <c r="A100" s="50" t="s">
        <v>187</v>
      </c>
      <c r="B100" s="50" t="s">
        <v>188</v>
      </c>
      <c r="C100" s="50" t="s">
        <v>189</v>
      </c>
    </row>
    <row r="101" spans="1:5" ht="15" thickBot="1" x14ac:dyDescent="0.35">
      <c r="A101" s="17" t="s">
        <v>190</v>
      </c>
      <c r="B101" s="17" t="s">
        <v>190</v>
      </c>
      <c r="C101" s="17" t="s">
        <v>190</v>
      </c>
    </row>
    <row r="102" spans="1:5" ht="15" thickBot="1" x14ac:dyDescent="0.35">
      <c r="A102" s="50" t="s">
        <v>191</v>
      </c>
      <c r="B102" s="50" t="s">
        <v>192</v>
      </c>
      <c r="C102" s="50" t="s">
        <v>193</v>
      </c>
    </row>
    <row r="103" spans="1:5" ht="15" thickBot="1" x14ac:dyDescent="0.35">
      <c r="A103" s="49" t="s">
        <v>194</v>
      </c>
      <c r="B103" s="49" t="s">
        <v>195</v>
      </c>
      <c r="C103" s="49" t="s">
        <v>196</v>
      </c>
    </row>
    <row r="104" spans="1:5" ht="15" thickBot="1" x14ac:dyDescent="0.35">
      <c r="A104" s="50" t="s">
        <v>197</v>
      </c>
      <c r="B104" s="50" t="s">
        <v>198</v>
      </c>
      <c r="C104" s="50" t="s">
        <v>199</v>
      </c>
    </row>
    <row r="105" spans="1:5" ht="15" thickBot="1" x14ac:dyDescent="0.35">
      <c r="A105" s="49" t="s">
        <v>200</v>
      </c>
      <c r="B105" s="49" t="s">
        <v>201</v>
      </c>
      <c r="C105" s="49" t="s">
        <v>202</v>
      </c>
    </row>
    <row r="106" spans="1:5" ht="15" thickBot="1" x14ac:dyDescent="0.35">
      <c r="A106" s="19" t="s">
        <v>190</v>
      </c>
      <c r="B106" s="19" t="s">
        <v>190</v>
      </c>
      <c r="C106" s="19" t="s">
        <v>190</v>
      </c>
    </row>
    <row r="107" spans="1:5" ht="15" thickBot="1" x14ac:dyDescent="0.35">
      <c r="A107" s="49" t="s">
        <v>203</v>
      </c>
      <c r="B107" s="49" t="s">
        <v>204</v>
      </c>
      <c r="C107" s="49" t="s">
        <v>205</v>
      </c>
    </row>
    <row r="108" spans="1:5" ht="15" thickBot="1" x14ac:dyDescent="0.35">
      <c r="A108" s="19" t="s">
        <v>176</v>
      </c>
      <c r="B108" s="19" t="s">
        <v>176</v>
      </c>
      <c r="C108" s="19" t="s">
        <v>176</v>
      </c>
    </row>
    <row r="109" spans="1:5" ht="15" thickBot="1" x14ac:dyDescent="0.35">
      <c r="A109" s="49" t="s">
        <v>206</v>
      </c>
      <c r="B109" s="49" t="s">
        <v>207</v>
      </c>
      <c r="C109" s="51">
        <v>10255255255</v>
      </c>
    </row>
    <row r="111" spans="1:5" ht="15" thickBot="1" x14ac:dyDescent="0.35"/>
    <row r="112" spans="1:5" x14ac:dyDescent="0.3">
      <c r="A112" s="159" t="s">
        <v>76</v>
      </c>
      <c r="B112" s="159" t="s">
        <v>35</v>
      </c>
      <c r="C112" s="46" t="s">
        <v>209</v>
      </c>
      <c r="D112" s="159" t="s">
        <v>211</v>
      </c>
      <c r="E112" s="159" t="s">
        <v>78</v>
      </c>
    </row>
    <row r="113" spans="1:5" ht="15" thickBot="1" x14ac:dyDescent="0.35">
      <c r="A113" s="160"/>
      <c r="B113" s="160"/>
      <c r="C113" s="52" t="s">
        <v>210</v>
      </c>
      <c r="D113" s="160"/>
      <c r="E113" s="160"/>
    </row>
    <row r="114" spans="1:5" ht="15" thickTop="1" x14ac:dyDescent="0.3">
      <c r="A114" s="161" t="s">
        <v>26</v>
      </c>
      <c r="B114" s="162">
        <v>255255255128</v>
      </c>
      <c r="C114" s="54" t="s">
        <v>212</v>
      </c>
      <c r="D114" s="163">
        <v>2</v>
      </c>
      <c r="E114" s="161">
        <v>126</v>
      </c>
    </row>
    <row r="115" spans="1:5" ht="15" thickBot="1" x14ac:dyDescent="0.35">
      <c r="A115" s="148"/>
      <c r="B115" s="150"/>
      <c r="C115" s="55">
        <v>1.1111111111111101E+31</v>
      </c>
      <c r="D115" s="152"/>
      <c r="E115" s="148"/>
    </row>
    <row r="116" spans="1:5" x14ac:dyDescent="0.3">
      <c r="A116" s="153" t="s">
        <v>27</v>
      </c>
      <c r="B116" s="155">
        <v>255255255192</v>
      </c>
      <c r="C116" s="56" t="s">
        <v>213</v>
      </c>
      <c r="D116" s="157">
        <v>4</v>
      </c>
      <c r="E116" s="153">
        <v>62</v>
      </c>
    </row>
    <row r="117" spans="1:5" ht="15" thickBot="1" x14ac:dyDescent="0.35">
      <c r="A117" s="154"/>
      <c r="B117" s="156"/>
      <c r="C117" s="57">
        <v>1.1111111111111101E+31</v>
      </c>
      <c r="D117" s="158"/>
      <c r="E117" s="154"/>
    </row>
    <row r="118" spans="1:5" x14ac:dyDescent="0.3">
      <c r="A118" s="147" t="s">
        <v>28</v>
      </c>
      <c r="B118" s="149">
        <v>255255255224</v>
      </c>
      <c r="C118" s="58" t="s">
        <v>214</v>
      </c>
      <c r="D118" s="151">
        <v>8</v>
      </c>
      <c r="E118" s="147">
        <v>30</v>
      </c>
    </row>
    <row r="119" spans="1:5" ht="15" thickBot="1" x14ac:dyDescent="0.35">
      <c r="A119" s="148"/>
      <c r="B119" s="150"/>
      <c r="C119" s="55">
        <v>1.1111111111111101E+31</v>
      </c>
      <c r="D119" s="152"/>
      <c r="E119" s="148"/>
    </row>
    <row r="120" spans="1:5" x14ac:dyDescent="0.3">
      <c r="A120" s="153" t="s">
        <v>29</v>
      </c>
      <c r="B120" s="155">
        <v>255255255240</v>
      </c>
      <c r="C120" s="56" t="s">
        <v>215</v>
      </c>
      <c r="D120" s="157">
        <v>16</v>
      </c>
      <c r="E120" s="153">
        <v>14</v>
      </c>
    </row>
    <row r="121" spans="1:5" ht="15" thickBot="1" x14ac:dyDescent="0.35">
      <c r="A121" s="154"/>
      <c r="B121" s="156"/>
      <c r="C121" s="57">
        <v>1.1111111111111101E+31</v>
      </c>
      <c r="D121" s="158"/>
      <c r="E121" s="154"/>
    </row>
    <row r="122" spans="1:5" x14ac:dyDescent="0.3">
      <c r="A122" s="147" t="s">
        <v>30</v>
      </c>
      <c r="B122" s="149">
        <v>255255255248</v>
      </c>
      <c r="C122" s="58" t="s">
        <v>216</v>
      </c>
      <c r="D122" s="151">
        <v>32</v>
      </c>
      <c r="E122" s="147">
        <v>6</v>
      </c>
    </row>
    <row r="123" spans="1:5" ht="15" thickBot="1" x14ac:dyDescent="0.35">
      <c r="A123" s="148"/>
      <c r="B123" s="150"/>
      <c r="C123" s="55">
        <v>1.1111111111111101E+31</v>
      </c>
      <c r="D123" s="152"/>
      <c r="E123" s="148"/>
    </row>
    <row r="124" spans="1:5" x14ac:dyDescent="0.3">
      <c r="A124" s="153" t="s">
        <v>31</v>
      </c>
      <c r="B124" s="155">
        <v>255255255252</v>
      </c>
      <c r="C124" s="56" t="s">
        <v>217</v>
      </c>
      <c r="D124" s="157">
        <v>64</v>
      </c>
      <c r="E124" s="153">
        <v>2</v>
      </c>
    </row>
    <row r="125" spans="1:5" ht="15" thickBot="1" x14ac:dyDescent="0.35">
      <c r="A125" s="154"/>
      <c r="B125" s="156"/>
      <c r="C125" s="57">
        <v>1.1111111111111101E+31</v>
      </c>
      <c r="D125" s="158"/>
      <c r="E125" s="154"/>
    </row>
    <row r="127" spans="1:5" ht="21" thickBot="1" x14ac:dyDescent="0.35">
      <c r="A127" s="178" t="s">
        <v>249</v>
      </c>
      <c r="B127" s="179"/>
      <c r="C127" s="179"/>
      <c r="D127" s="179"/>
      <c r="E127" s="179"/>
    </row>
    <row r="128" spans="1:5" ht="15" thickBot="1" x14ac:dyDescent="0.35">
      <c r="A128" s="59" t="s">
        <v>76</v>
      </c>
      <c r="B128" s="59" t="s">
        <v>35</v>
      </c>
      <c r="C128" s="59" t="s">
        <v>218</v>
      </c>
      <c r="D128" s="59" t="s">
        <v>211</v>
      </c>
      <c r="E128" s="59" t="s">
        <v>78</v>
      </c>
    </row>
    <row r="129" spans="1:5" ht="15" thickTop="1" x14ac:dyDescent="0.3">
      <c r="A129" s="176" t="s">
        <v>219</v>
      </c>
      <c r="B129" s="176" t="s">
        <v>220</v>
      </c>
      <c r="C129" s="60" t="s">
        <v>221</v>
      </c>
      <c r="D129" s="177">
        <v>2</v>
      </c>
      <c r="E129" s="176">
        <v>32766</v>
      </c>
    </row>
    <row r="130" spans="1:5" ht="15" thickBot="1" x14ac:dyDescent="0.35">
      <c r="A130" s="165"/>
      <c r="B130" s="165"/>
      <c r="C130" s="61">
        <v>1.1111111111111101E+31</v>
      </c>
      <c r="D130" s="169"/>
      <c r="E130" s="165"/>
    </row>
    <row r="131" spans="1:5" x14ac:dyDescent="0.3">
      <c r="A131" s="170" t="s">
        <v>222</v>
      </c>
      <c r="B131" s="170" t="s">
        <v>223</v>
      </c>
      <c r="C131" s="62" t="s">
        <v>224</v>
      </c>
      <c r="D131" s="174">
        <v>4</v>
      </c>
      <c r="E131" s="170">
        <v>16382</v>
      </c>
    </row>
    <row r="132" spans="1:5" ht="15" thickBot="1" x14ac:dyDescent="0.35">
      <c r="A132" s="171"/>
      <c r="B132" s="171"/>
      <c r="C132" s="63">
        <v>1.11111111111111E+29</v>
      </c>
      <c r="D132" s="175"/>
      <c r="E132" s="171"/>
    </row>
    <row r="133" spans="1:5" x14ac:dyDescent="0.3">
      <c r="A133" s="164" t="s">
        <v>225</v>
      </c>
      <c r="B133" s="164" t="s">
        <v>226</v>
      </c>
      <c r="C133" s="64" t="s">
        <v>227</v>
      </c>
      <c r="D133" s="168">
        <v>8</v>
      </c>
      <c r="E133" s="164">
        <v>8190</v>
      </c>
    </row>
    <row r="134" spans="1:5" ht="15" thickBot="1" x14ac:dyDescent="0.35">
      <c r="A134" s="165"/>
      <c r="B134" s="165"/>
      <c r="C134" s="61">
        <v>1.11111111111111E+29</v>
      </c>
      <c r="D134" s="169"/>
      <c r="E134" s="165"/>
    </row>
    <row r="135" spans="1:5" x14ac:dyDescent="0.3">
      <c r="A135" s="170" t="s">
        <v>228</v>
      </c>
      <c r="B135" s="170" t="s">
        <v>229</v>
      </c>
      <c r="C135" s="62" t="s">
        <v>230</v>
      </c>
      <c r="D135" s="174">
        <v>16</v>
      </c>
      <c r="E135" s="170">
        <v>4094</v>
      </c>
    </row>
    <row r="136" spans="1:5" ht="15" thickBot="1" x14ac:dyDescent="0.35">
      <c r="A136" s="171"/>
      <c r="B136" s="171"/>
      <c r="C136" s="63">
        <v>1.11111111111111E+29</v>
      </c>
      <c r="D136" s="175"/>
      <c r="E136" s="171"/>
    </row>
    <row r="137" spans="1:5" x14ac:dyDescent="0.3">
      <c r="A137" s="164" t="s">
        <v>231</v>
      </c>
      <c r="B137" s="164" t="s">
        <v>232</v>
      </c>
      <c r="C137" s="64" t="s">
        <v>233</v>
      </c>
      <c r="D137" s="168">
        <v>32</v>
      </c>
      <c r="E137" s="164">
        <v>2046</v>
      </c>
    </row>
    <row r="138" spans="1:5" ht="15" thickBot="1" x14ac:dyDescent="0.35">
      <c r="A138" s="165"/>
      <c r="B138" s="165"/>
      <c r="C138" s="61">
        <v>1.11111111111111E+29</v>
      </c>
      <c r="D138" s="169"/>
      <c r="E138" s="165"/>
    </row>
    <row r="139" spans="1:5" x14ac:dyDescent="0.3">
      <c r="A139" s="170" t="s">
        <v>234</v>
      </c>
      <c r="B139" s="170" t="s">
        <v>235</v>
      </c>
      <c r="C139" s="62" t="s">
        <v>236</v>
      </c>
      <c r="D139" s="174">
        <v>64</v>
      </c>
      <c r="E139" s="170">
        <v>1022</v>
      </c>
    </row>
    <row r="140" spans="1:5" ht="15" thickBot="1" x14ac:dyDescent="0.35">
      <c r="A140" s="171"/>
      <c r="B140" s="171"/>
      <c r="C140" s="63">
        <v>1.11111111111111E+29</v>
      </c>
      <c r="D140" s="175"/>
      <c r="E140" s="171"/>
    </row>
    <row r="141" spans="1:5" x14ac:dyDescent="0.3">
      <c r="A141" s="164" t="s">
        <v>237</v>
      </c>
      <c r="B141" s="164" t="s">
        <v>238</v>
      </c>
      <c r="C141" s="64" t="s">
        <v>239</v>
      </c>
      <c r="D141" s="168">
        <v>128</v>
      </c>
      <c r="E141" s="164">
        <v>510</v>
      </c>
    </row>
    <row r="142" spans="1:5" ht="15" thickBot="1" x14ac:dyDescent="0.35">
      <c r="A142" s="165"/>
      <c r="B142" s="165"/>
      <c r="C142" s="61">
        <v>1.11111111111111E+29</v>
      </c>
      <c r="D142" s="169"/>
      <c r="E142" s="165"/>
    </row>
    <row r="143" spans="1:5" x14ac:dyDescent="0.3">
      <c r="A143" s="170" t="s">
        <v>25</v>
      </c>
      <c r="B143" s="170" t="s">
        <v>240</v>
      </c>
      <c r="C143" s="62" t="s">
        <v>241</v>
      </c>
      <c r="D143" s="174">
        <v>256</v>
      </c>
      <c r="E143" s="170">
        <v>254</v>
      </c>
    </row>
    <row r="144" spans="1:5" ht="15" thickBot="1" x14ac:dyDescent="0.35">
      <c r="A144" s="171"/>
      <c r="B144" s="171"/>
      <c r="C144" s="63">
        <v>1.11111111111111E+29</v>
      </c>
      <c r="D144" s="175"/>
      <c r="E144" s="171"/>
    </row>
    <row r="145" spans="1:5" x14ac:dyDescent="0.3">
      <c r="A145" s="164" t="s">
        <v>26</v>
      </c>
      <c r="B145" s="166">
        <v>255255255128</v>
      </c>
      <c r="C145" s="64" t="s">
        <v>242</v>
      </c>
      <c r="D145" s="168">
        <v>512</v>
      </c>
      <c r="E145" s="164">
        <v>126</v>
      </c>
    </row>
    <row r="146" spans="1:5" ht="15" thickBot="1" x14ac:dyDescent="0.35">
      <c r="A146" s="165"/>
      <c r="B146" s="167"/>
      <c r="C146" s="61">
        <v>1.11111111111111E+29</v>
      </c>
      <c r="D146" s="169"/>
      <c r="E146" s="165"/>
    </row>
    <row r="147" spans="1:5" x14ac:dyDescent="0.3">
      <c r="A147" s="170" t="s">
        <v>27</v>
      </c>
      <c r="B147" s="172">
        <v>255255255192</v>
      </c>
      <c r="C147" s="62" t="s">
        <v>243</v>
      </c>
      <c r="D147" s="174">
        <v>1024</v>
      </c>
      <c r="E147" s="170">
        <v>62</v>
      </c>
    </row>
    <row r="148" spans="1:5" ht="15" thickBot="1" x14ac:dyDescent="0.35">
      <c r="A148" s="171"/>
      <c r="B148" s="173"/>
      <c r="C148" s="63">
        <v>1.11111111111111E+29</v>
      </c>
      <c r="D148" s="175"/>
      <c r="E148" s="171"/>
    </row>
    <row r="149" spans="1:5" x14ac:dyDescent="0.3">
      <c r="A149" s="164" t="s">
        <v>28</v>
      </c>
      <c r="B149" s="166">
        <v>255255255224</v>
      </c>
      <c r="C149" s="64" t="s">
        <v>244</v>
      </c>
      <c r="D149" s="168">
        <v>2048</v>
      </c>
      <c r="E149" s="164">
        <v>30</v>
      </c>
    </row>
    <row r="150" spans="1:5" ht="15" thickBot="1" x14ac:dyDescent="0.35">
      <c r="A150" s="165"/>
      <c r="B150" s="167"/>
      <c r="C150" s="61">
        <v>1.11111111111111E+29</v>
      </c>
      <c r="D150" s="169"/>
      <c r="E150" s="165"/>
    </row>
    <row r="151" spans="1:5" x14ac:dyDescent="0.3">
      <c r="A151" s="170" t="s">
        <v>29</v>
      </c>
      <c r="B151" s="170" t="s">
        <v>245</v>
      </c>
      <c r="C151" s="62" t="s">
        <v>246</v>
      </c>
      <c r="D151" s="174">
        <v>4096</v>
      </c>
      <c r="E151" s="170">
        <v>14</v>
      </c>
    </row>
    <row r="152" spans="1:5" ht="15" thickBot="1" x14ac:dyDescent="0.35">
      <c r="A152" s="171"/>
      <c r="B152" s="171"/>
      <c r="C152" s="63">
        <v>1.11111111111111E+29</v>
      </c>
      <c r="D152" s="175"/>
      <c r="E152" s="171"/>
    </row>
    <row r="153" spans="1:5" x14ac:dyDescent="0.3">
      <c r="A153" s="164" t="s">
        <v>30</v>
      </c>
      <c r="B153" s="166">
        <v>255255255248</v>
      </c>
      <c r="C153" s="64" t="s">
        <v>247</v>
      </c>
      <c r="D153" s="168">
        <v>8192</v>
      </c>
      <c r="E153" s="164">
        <v>6</v>
      </c>
    </row>
    <row r="154" spans="1:5" ht="15" thickBot="1" x14ac:dyDescent="0.35">
      <c r="A154" s="165"/>
      <c r="B154" s="167"/>
      <c r="C154" s="61">
        <v>1.11111111111111E+29</v>
      </c>
      <c r="D154" s="169"/>
      <c r="E154" s="165"/>
    </row>
    <row r="155" spans="1:5" x14ac:dyDescent="0.3">
      <c r="A155" s="170" t="s">
        <v>31</v>
      </c>
      <c r="B155" s="172">
        <v>255255255252</v>
      </c>
      <c r="C155" s="62" t="s">
        <v>248</v>
      </c>
      <c r="D155" s="174">
        <v>16384</v>
      </c>
      <c r="E155" s="170">
        <v>2</v>
      </c>
    </row>
    <row r="156" spans="1:5" ht="15" thickBot="1" x14ac:dyDescent="0.35">
      <c r="A156" s="171"/>
      <c r="B156" s="173"/>
      <c r="C156" s="63">
        <v>1.11111111111111E+27</v>
      </c>
      <c r="D156" s="175"/>
      <c r="E156" s="171"/>
    </row>
  </sheetData>
  <mergeCells count="164">
    <mergeCell ref="R38:S38"/>
    <mergeCell ref="R47:S47"/>
    <mergeCell ref="R56:S56"/>
    <mergeCell ref="R65:S65"/>
    <mergeCell ref="R74:S74"/>
    <mergeCell ref="AA24:AB24"/>
    <mergeCell ref="AA29:AB29"/>
    <mergeCell ref="Y26:Z26"/>
    <mergeCell ref="R1:Z1"/>
    <mergeCell ref="U11:V11"/>
    <mergeCell ref="R11:S11"/>
    <mergeCell ref="Y19:Z19"/>
    <mergeCell ref="U41:V41"/>
    <mergeCell ref="U51:V51"/>
    <mergeCell ref="U55:V55"/>
    <mergeCell ref="U59:V59"/>
    <mergeCell ref="U63:V63"/>
    <mergeCell ref="U67:V67"/>
    <mergeCell ref="U71:V71"/>
    <mergeCell ref="AA34:AB34"/>
    <mergeCell ref="Y51:Z51"/>
    <mergeCell ref="Y55:Z55"/>
    <mergeCell ref="Y59:Z59"/>
    <mergeCell ref="Y63:Z63"/>
    <mergeCell ref="A1:A2"/>
    <mergeCell ref="B1:B2"/>
    <mergeCell ref="F1:N1"/>
    <mergeCell ref="Y10:AA10"/>
    <mergeCell ref="R20:S20"/>
    <mergeCell ref="R29:S29"/>
    <mergeCell ref="U21:V21"/>
    <mergeCell ref="A32:B32"/>
    <mergeCell ref="D15:D16"/>
    <mergeCell ref="D17:D18"/>
    <mergeCell ref="D19:D20"/>
    <mergeCell ref="D21:D22"/>
    <mergeCell ref="D23:D24"/>
    <mergeCell ref="U31:V31"/>
    <mergeCell ref="A59:A60"/>
    <mergeCell ref="B59:B60"/>
    <mergeCell ref="D59:D60"/>
    <mergeCell ref="A55:A56"/>
    <mergeCell ref="B55:B56"/>
    <mergeCell ref="D55:D56"/>
    <mergeCell ref="A57:A58"/>
    <mergeCell ref="B57:B58"/>
    <mergeCell ref="D57:D58"/>
    <mergeCell ref="A129:A130"/>
    <mergeCell ref="B129:B130"/>
    <mergeCell ref="D129:D130"/>
    <mergeCell ref="E129:E130"/>
    <mergeCell ref="A131:A132"/>
    <mergeCell ref="B131:B132"/>
    <mergeCell ref="D131:D132"/>
    <mergeCell ref="E131:E132"/>
    <mergeCell ref="A122:A123"/>
    <mergeCell ref="B122:B123"/>
    <mergeCell ref="D122:D123"/>
    <mergeCell ref="E122:E123"/>
    <mergeCell ref="A124:A125"/>
    <mergeCell ref="B124:B125"/>
    <mergeCell ref="D124:D125"/>
    <mergeCell ref="E124:E125"/>
    <mergeCell ref="A127:E127"/>
    <mergeCell ref="A137:A138"/>
    <mergeCell ref="B137:B138"/>
    <mergeCell ref="D137:D138"/>
    <mergeCell ref="E137:E138"/>
    <mergeCell ref="A139:A140"/>
    <mergeCell ref="B139:B140"/>
    <mergeCell ref="D139:D140"/>
    <mergeCell ref="E139:E140"/>
    <mergeCell ref="A133:A134"/>
    <mergeCell ref="B133:B134"/>
    <mergeCell ref="D133:D134"/>
    <mergeCell ref="E133:E134"/>
    <mergeCell ref="A135:A136"/>
    <mergeCell ref="B135:B136"/>
    <mergeCell ref="D135:D136"/>
    <mergeCell ref="E135:E136"/>
    <mergeCell ref="A145:A146"/>
    <mergeCell ref="B145:B146"/>
    <mergeCell ref="D145:D146"/>
    <mergeCell ref="E145:E146"/>
    <mergeCell ref="A147:A148"/>
    <mergeCell ref="B147:B148"/>
    <mergeCell ref="D147:D148"/>
    <mergeCell ref="E147:E148"/>
    <mergeCell ref="A141:A142"/>
    <mergeCell ref="B141:B142"/>
    <mergeCell ref="D141:D142"/>
    <mergeCell ref="E141:E142"/>
    <mergeCell ref="A143:A144"/>
    <mergeCell ref="B143:B144"/>
    <mergeCell ref="D143:D144"/>
    <mergeCell ref="E143:E144"/>
    <mergeCell ref="A153:A154"/>
    <mergeCell ref="B153:B154"/>
    <mergeCell ref="D153:D154"/>
    <mergeCell ref="E153:E154"/>
    <mergeCell ref="A155:A156"/>
    <mergeCell ref="B155:B156"/>
    <mergeCell ref="D155:D156"/>
    <mergeCell ref="E155:E156"/>
    <mergeCell ref="A149:A150"/>
    <mergeCell ref="B149:B150"/>
    <mergeCell ref="D149:D150"/>
    <mergeCell ref="E149:E150"/>
    <mergeCell ref="A151:A152"/>
    <mergeCell ref="B151:B152"/>
    <mergeCell ref="D151:D152"/>
    <mergeCell ref="E151:E152"/>
    <mergeCell ref="A65:A66"/>
    <mergeCell ref="B65:B66"/>
    <mergeCell ref="D65:D66"/>
    <mergeCell ref="E65:E66"/>
    <mergeCell ref="A67:A68"/>
    <mergeCell ref="B67:B68"/>
    <mergeCell ref="D67:D68"/>
    <mergeCell ref="E67:E68"/>
    <mergeCell ref="A69:A70"/>
    <mergeCell ref="B69:B70"/>
    <mergeCell ref="D69:D70"/>
    <mergeCell ref="E69:E70"/>
    <mergeCell ref="A120:A121"/>
    <mergeCell ref="B120:B121"/>
    <mergeCell ref="D120:D121"/>
    <mergeCell ref="E120:E121"/>
    <mergeCell ref="A75:A76"/>
    <mergeCell ref="B75:B76"/>
    <mergeCell ref="D75:D76"/>
    <mergeCell ref="E75:E76"/>
    <mergeCell ref="A77:A78"/>
    <mergeCell ref="B77:B78"/>
    <mergeCell ref="D77:D78"/>
    <mergeCell ref="E77:E78"/>
    <mergeCell ref="A114:A115"/>
    <mergeCell ref="B114:B115"/>
    <mergeCell ref="D114:D115"/>
    <mergeCell ref="E114:E115"/>
    <mergeCell ref="A116:A117"/>
    <mergeCell ref="B116:B117"/>
    <mergeCell ref="D116:D117"/>
    <mergeCell ref="E116:E117"/>
    <mergeCell ref="C83:C84"/>
    <mergeCell ref="C96:C97"/>
    <mergeCell ref="A112:A113"/>
    <mergeCell ref="B112:B113"/>
    <mergeCell ref="Y67:Z67"/>
    <mergeCell ref="Y71:Z71"/>
    <mergeCell ref="A71:A72"/>
    <mergeCell ref="B71:B72"/>
    <mergeCell ref="D71:D72"/>
    <mergeCell ref="A118:A119"/>
    <mergeCell ref="B118:B119"/>
    <mergeCell ref="D118:D119"/>
    <mergeCell ref="E118:E119"/>
    <mergeCell ref="E71:E72"/>
    <mergeCell ref="A73:A74"/>
    <mergeCell ref="B73:B74"/>
    <mergeCell ref="D73:D74"/>
    <mergeCell ref="E73:E74"/>
    <mergeCell ref="D112:D113"/>
    <mergeCell ref="E112:E113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A8FF-CAC2-47FA-A920-5D12ECFC0104}">
  <dimension ref="A1:J86"/>
  <sheetViews>
    <sheetView tabSelected="1" topLeftCell="B1" workbookViewId="0">
      <selection activeCell="G7" sqref="G7"/>
    </sheetView>
  </sheetViews>
  <sheetFormatPr defaultColWidth="8.77734375" defaultRowHeight="14.4" x14ac:dyDescent="0.3"/>
  <cols>
    <col min="1" max="1" width="97.5546875" style="92" customWidth="1"/>
    <col min="2" max="2" width="24.21875" style="92" customWidth="1"/>
    <col min="3" max="3" width="19.33203125" style="92" bestFit="1" customWidth="1"/>
    <col min="4" max="5" width="19.88671875" style="92" customWidth="1"/>
    <col min="6" max="7" width="14.77734375" style="92" customWidth="1"/>
    <col min="8" max="8" width="23.44140625" style="92" customWidth="1"/>
    <col min="9" max="9" width="16.6640625" style="92" customWidth="1"/>
    <col min="10" max="10" width="17.33203125" style="92" customWidth="1"/>
    <col min="11" max="16384" width="8.77734375" style="92"/>
  </cols>
  <sheetData>
    <row r="1" spans="1:10" ht="15" thickBot="1" x14ac:dyDescent="0.35">
      <c r="A1" s="208" t="s">
        <v>339</v>
      </c>
      <c r="B1" s="209"/>
      <c r="C1" s="209"/>
      <c r="D1" s="209"/>
      <c r="E1" s="209"/>
      <c r="F1" s="209"/>
      <c r="G1" s="209"/>
      <c r="H1" s="209"/>
      <c r="I1" s="209"/>
      <c r="J1" s="210"/>
    </row>
    <row r="2" spans="1:10" ht="67.8" customHeight="1" thickBot="1" x14ac:dyDescent="0.35">
      <c r="A2" s="211" t="s">
        <v>130</v>
      </c>
      <c r="B2" s="211" t="s">
        <v>131</v>
      </c>
      <c r="C2" s="211" t="s">
        <v>147</v>
      </c>
      <c r="D2" s="211" t="s">
        <v>132</v>
      </c>
      <c r="E2" s="214" t="s">
        <v>16</v>
      </c>
      <c r="F2" s="216" t="s">
        <v>133</v>
      </c>
      <c r="G2" s="217"/>
      <c r="H2" s="214" t="s">
        <v>134</v>
      </c>
      <c r="I2" s="211" t="s">
        <v>135</v>
      </c>
      <c r="J2" s="214" t="s">
        <v>136</v>
      </c>
    </row>
    <row r="3" spans="1:10" ht="15" thickBot="1" x14ac:dyDescent="0.35">
      <c r="A3" s="212"/>
      <c r="B3" s="213"/>
      <c r="C3" s="213"/>
      <c r="D3" s="213"/>
      <c r="E3" s="215"/>
      <c r="F3" s="93" t="s">
        <v>137</v>
      </c>
      <c r="G3" s="93" t="s">
        <v>138</v>
      </c>
      <c r="H3" s="215"/>
      <c r="I3" s="213"/>
      <c r="J3" s="215"/>
    </row>
    <row r="4" spans="1:10" ht="15.6" customHeight="1" thickTop="1" thickBot="1" x14ac:dyDescent="0.35">
      <c r="A4" s="205" t="s">
        <v>139</v>
      </c>
      <c r="B4" s="94" t="s">
        <v>307</v>
      </c>
      <c r="C4" s="95">
        <v>60</v>
      </c>
      <c r="D4" s="94" t="s">
        <v>389</v>
      </c>
      <c r="E4" s="94" t="s">
        <v>24</v>
      </c>
      <c r="F4" s="94" t="s">
        <v>374</v>
      </c>
      <c r="G4" s="94" t="s">
        <v>390</v>
      </c>
      <c r="H4" s="94" t="s">
        <v>391</v>
      </c>
      <c r="I4" s="94" t="s">
        <v>374</v>
      </c>
      <c r="J4" s="95">
        <v>60</v>
      </c>
    </row>
    <row r="5" spans="1:10" ht="15" customHeight="1" thickBot="1" x14ac:dyDescent="0.35">
      <c r="A5" s="206"/>
      <c r="B5" s="94" t="s">
        <v>308</v>
      </c>
      <c r="C5" s="95">
        <v>95</v>
      </c>
      <c r="D5" s="94" t="s">
        <v>392</v>
      </c>
      <c r="E5" s="94" t="s">
        <v>24</v>
      </c>
      <c r="F5" s="94" t="s">
        <v>393</v>
      </c>
      <c r="G5" s="94" t="s">
        <v>394</v>
      </c>
      <c r="H5" s="94" t="s">
        <v>395</v>
      </c>
      <c r="I5" s="94" t="s">
        <v>393</v>
      </c>
      <c r="J5" s="95">
        <v>95</v>
      </c>
    </row>
    <row r="6" spans="1:10" ht="15" customHeight="1" thickBot="1" x14ac:dyDescent="0.35">
      <c r="A6" s="206"/>
      <c r="B6" s="94" t="s">
        <v>309</v>
      </c>
      <c r="C6" s="95">
        <v>120</v>
      </c>
      <c r="D6" s="94" t="s">
        <v>396</v>
      </c>
      <c r="E6" s="94" t="s">
        <v>24</v>
      </c>
      <c r="F6" s="94" t="s">
        <v>397</v>
      </c>
      <c r="G6" s="94" t="s">
        <v>279</v>
      </c>
      <c r="H6" s="94" t="s">
        <v>278</v>
      </c>
      <c r="I6" s="94" t="s">
        <v>397</v>
      </c>
      <c r="J6" s="95">
        <v>120</v>
      </c>
    </row>
    <row r="7" spans="1:10" ht="15" customHeight="1" thickBot="1" x14ac:dyDescent="0.35">
      <c r="A7" s="206"/>
      <c r="B7" s="94" t="s">
        <v>310</v>
      </c>
      <c r="C7" s="95">
        <v>2</v>
      </c>
      <c r="D7" s="94"/>
      <c r="E7" s="94"/>
      <c r="F7" s="94"/>
      <c r="G7" s="94"/>
      <c r="H7" s="94"/>
      <c r="I7" s="94"/>
      <c r="J7" s="95">
        <v>2</v>
      </c>
    </row>
    <row r="8" spans="1:10" ht="15" customHeight="1" thickBot="1" x14ac:dyDescent="0.35">
      <c r="A8" s="206"/>
      <c r="B8" s="94" t="s">
        <v>311</v>
      </c>
      <c r="C8" s="95">
        <v>12</v>
      </c>
      <c r="D8" s="94"/>
      <c r="E8" s="94"/>
      <c r="F8" s="94"/>
      <c r="G8" s="94"/>
      <c r="H8" s="94"/>
      <c r="I8" s="94"/>
      <c r="J8" s="95">
        <v>12</v>
      </c>
    </row>
    <row r="9" spans="1:10" ht="15" customHeight="1" thickBot="1" x14ac:dyDescent="0.35">
      <c r="A9" s="206"/>
      <c r="B9" s="94" t="s">
        <v>312</v>
      </c>
      <c r="C9" s="95">
        <v>3</v>
      </c>
      <c r="D9" s="94"/>
      <c r="E9" s="94"/>
      <c r="F9" s="94"/>
      <c r="G9" s="94"/>
      <c r="H9" s="94"/>
      <c r="I9" s="94"/>
      <c r="J9" s="95">
        <v>2</v>
      </c>
    </row>
    <row r="10" spans="1:10" ht="15" customHeight="1" thickBot="1" x14ac:dyDescent="0.35">
      <c r="A10" s="206"/>
      <c r="B10" s="94" t="s">
        <v>313</v>
      </c>
      <c r="C10" s="95">
        <v>12</v>
      </c>
      <c r="D10" s="94"/>
      <c r="E10" s="94"/>
      <c r="F10" s="94"/>
      <c r="G10" s="94"/>
      <c r="H10" s="94"/>
      <c r="I10" s="94"/>
      <c r="J10" s="95">
        <v>12</v>
      </c>
    </row>
    <row r="11" spans="1:10" ht="15" customHeight="1" thickBot="1" x14ac:dyDescent="0.35">
      <c r="A11" s="206"/>
      <c r="B11" s="94" t="s">
        <v>315</v>
      </c>
      <c r="C11" s="95">
        <v>1</v>
      </c>
      <c r="D11" s="94"/>
      <c r="E11" s="94"/>
      <c r="F11" s="94"/>
      <c r="G11" s="94"/>
      <c r="H11" s="94"/>
      <c r="I11" s="94"/>
      <c r="J11" s="95">
        <v>1</v>
      </c>
    </row>
    <row r="12" spans="1:10" ht="15" customHeight="1" thickBot="1" x14ac:dyDescent="0.35">
      <c r="A12" s="206"/>
      <c r="B12" s="94" t="s">
        <v>314</v>
      </c>
      <c r="C12" s="95">
        <v>12</v>
      </c>
      <c r="D12" s="94"/>
      <c r="E12" s="94"/>
      <c r="F12" s="94"/>
      <c r="G12" s="94"/>
      <c r="H12" s="94"/>
      <c r="I12" s="94"/>
      <c r="J12" s="95">
        <v>12</v>
      </c>
    </row>
    <row r="13" spans="1:10" ht="18" customHeight="1" thickBot="1" x14ac:dyDescent="0.35">
      <c r="A13" s="207"/>
      <c r="B13" s="94" t="s">
        <v>316</v>
      </c>
      <c r="C13" s="95">
        <v>2</v>
      </c>
      <c r="D13" s="94"/>
      <c r="E13" s="94"/>
      <c r="F13" s="94"/>
      <c r="G13" s="94"/>
      <c r="H13" s="94"/>
      <c r="I13" s="94"/>
      <c r="J13" s="95">
        <v>2</v>
      </c>
    </row>
    <row r="14" spans="1:10" ht="17.850000000000001" thickBot="1" x14ac:dyDescent="0.35">
      <c r="A14" s="202"/>
      <c r="B14" s="203"/>
      <c r="C14" s="203"/>
      <c r="D14" s="203"/>
      <c r="E14" s="203"/>
      <c r="F14" s="203"/>
      <c r="G14" s="203"/>
      <c r="H14" s="203"/>
      <c r="I14" s="203"/>
      <c r="J14" s="204"/>
    </row>
    <row r="15" spans="1:10" s="99" customFormat="1" ht="18" thickBot="1" x14ac:dyDescent="0.35">
      <c r="A15" s="96" t="s">
        <v>317</v>
      </c>
      <c r="B15" s="97" t="s">
        <v>318</v>
      </c>
      <c r="C15" s="98">
        <v>2</v>
      </c>
      <c r="D15" s="97" t="s">
        <v>398</v>
      </c>
      <c r="E15" s="218">
        <v>255255255252</v>
      </c>
      <c r="F15" s="97" t="s">
        <v>399</v>
      </c>
      <c r="G15" s="97" t="s">
        <v>400</v>
      </c>
      <c r="H15" s="97" t="s">
        <v>401</v>
      </c>
      <c r="I15" s="98" t="s">
        <v>402</v>
      </c>
      <c r="J15" s="98">
        <v>2</v>
      </c>
    </row>
    <row r="16" spans="1:10" ht="15" customHeight="1" thickBot="1" x14ac:dyDescent="0.35">
      <c r="A16" s="100" t="s">
        <v>140</v>
      </c>
      <c r="B16" s="97" t="s">
        <v>319</v>
      </c>
      <c r="C16" s="98">
        <v>254</v>
      </c>
      <c r="D16" s="97" t="s">
        <v>403</v>
      </c>
      <c r="E16" s="97" t="s">
        <v>24</v>
      </c>
      <c r="F16" s="97" t="s">
        <v>404</v>
      </c>
      <c r="G16" s="97" t="s">
        <v>405</v>
      </c>
      <c r="H16" s="97" t="s">
        <v>406</v>
      </c>
      <c r="I16" s="97" t="s">
        <v>404</v>
      </c>
      <c r="J16" s="98">
        <v>254</v>
      </c>
    </row>
    <row r="17" spans="1:10" ht="15" customHeight="1" thickBot="1" x14ac:dyDescent="0.35">
      <c r="A17" s="202"/>
      <c r="B17" s="203"/>
      <c r="C17" s="203"/>
      <c r="D17" s="203"/>
      <c r="E17" s="203"/>
      <c r="F17" s="203"/>
      <c r="G17" s="203"/>
      <c r="H17" s="203"/>
      <c r="I17" s="203"/>
      <c r="J17" s="204"/>
    </row>
    <row r="18" spans="1:10" s="99" customFormat="1" ht="15" customHeight="1" thickBot="1" x14ac:dyDescent="0.35">
      <c r="A18" s="101" t="s">
        <v>320</v>
      </c>
      <c r="B18" s="102" t="s">
        <v>321</v>
      </c>
      <c r="C18" s="103">
        <v>2</v>
      </c>
      <c r="D18" s="102" t="s">
        <v>407</v>
      </c>
      <c r="E18" s="219">
        <v>255255255252</v>
      </c>
      <c r="F18" s="102" t="s">
        <v>408</v>
      </c>
      <c r="G18" s="102" t="s">
        <v>409</v>
      </c>
      <c r="H18" s="102" t="s">
        <v>410</v>
      </c>
      <c r="I18" s="103" t="s">
        <v>402</v>
      </c>
      <c r="J18" s="103">
        <v>2</v>
      </c>
    </row>
    <row r="19" spans="1:10" ht="15" customHeight="1" thickBot="1" x14ac:dyDescent="0.35">
      <c r="A19" s="104" t="s">
        <v>141</v>
      </c>
      <c r="B19" s="102" t="s">
        <v>322</v>
      </c>
      <c r="C19" s="103">
        <v>254</v>
      </c>
      <c r="D19" s="102" t="s">
        <v>411</v>
      </c>
      <c r="E19" s="102" t="s">
        <v>24</v>
      </c>
      <c r="F19" s="102" t="s">
        <v>412</v>
      </c>
      <c r="G19" s="102" t="s">
        <v>413</v>
      </c>
      <c r="H19" s="102" t="s">
        <v>414</v>
      </c>
      <c r="I19" s="102" t="s">
        <v>412</v>
      </c>
      <c r="J19" s="103">
        <v>254</v>
      </c>
    </row>
    <row r="20" spans="1:10" ht="15" customHeight="1" thickBot="1" x14ac:dyDescent="0.35">
      <c r="A20" s="202"/>
      <c r="B20" s="203"/>
      <c r="C20" s="203"/>
      <c r="D20" s="203"/>
      <c r="E20" s="203"/>
      <c r="F20" s="203"/>
      <c r="G20" s="203"/>
      <c r="H20" s="203"/>
      <c r="I20" s="203"/>
      <c r="J20" s="204"/>
    </row>
    <row r="21" spans="1:10" ht="15" customHeight="1" thickBot="1" x14ac:dyDescent="0.35">
      <c r="A21" s="105" t="s">
        <v>323</v>
      </c>
      <c r="B21" s="106" t="s">
        <v>324</v>
      </c>
      <c r="C21" s="106"/>
      <c r="D21" s="106"/>
      <c r="E21" s="106"/>
      <c r="F21" s="106"/>
      <c r="G21" s="106"/>
      <c r="H21" s="106"/>
      <c r="I21" s="106"/>
      <c r="J21" s="107">
        <v>2</v>
      </c>
    </row>
    <row r="22" spans="1:10" ht="15" customHeight="1" thickBot="1" x14ac:dyDescent="0.35">
      <c r="A22" s="108" t="s">
        <v>142</v>
      </c>
      <c r="B22" s="106" t="s">
        <v>325</v>
      </c>
      <c r="C22" s="106"/>
      <c r="D22" s="106"/>
      <c r="E22" s="106"/>
      <c r="F22" s="106"/>
      <c r="G22" s="106"/>
      <c r="H22" s="106"/>
      <c r="I22" s="106"/>
      <c r="J22" s="107">
        <v>254</v>
      </c>
    </row>
    <row r="23" spans="1:10" ht="15" customHeight="1" thickBot="1" x14ac:dyDescent="0.35">
      <c r="A23" s="202"/>
      <c r="B23" s="203"/>
      <c r="C23" s="203"/>
      <c r="D23" s="203"/>
      <c r="E23" s="203"/>
      <c r="F23" s="203"/>
      <c r="G23" s="203"/>
      <c r="H23" s="203"/>
      <c r="I23" s="203"/>
      <c r="J23" s="204"/>
    </row>
    <row r="24" spans="1:10" ht="15" customHeight="1" thickBot="1" x14ac:dyDescent="0.35">
      <c r="A24" s="109" t="s">
        <v>326</v>
      </c>
      <c r="B24" s="110" t="s">
        <v>327</v>
      </c>
      <c r="C24" s="110"/>
      <c r="D24" s="110"/>
      <c r="E24" s="110"/>
      <c r="F24" s="110"/>
      <c r="G24" s="110"/>
      <c r="H24" s="110"/>
      <c r="I24" s="110"/>
      <c r="J24" s="111">
        <v>2</v>
      </c>
    </row>
    <row r="25" spans="1:10" ht="18" thickBot="1" x14ac:dyDescent="0.35">
      <c r="A25" s="112" t="s">
        <v>143</v>
      </c>
      <c r="B25" s="110" t="s">
        <v>328</v>
      </c>
      <c r="C25" s="110"/>
      <c r="D25" s="110"/>
      <c r="E25" s="110"/>
      <c r="F25" s="110"/>
      <c r="G25" s="110"/>
      <c r="H25" s="110"/>
      <c r="I25" s="110"/>
      <c r="J25" s="111">
        <v>254</v>
      </c>
    </row>
    <row r="26" spans="1:10" ht="18" thickBot="1" x14ac:dyDescent="0.35">
      <c r="A26" s="202"/>
      <c r="B26" s="203"/>
      <c r="C26" s="203"/>
      <c r="D26" s="203"/>
      <c r="E26" s="203"/>
      <c r="F26" s="203"/>
      <c r="G26" s="203"/>
      <c r="H26" s="203"/>
      <c r="I26" s="203"/>
      <c r="J26" s="204"/>
    </row>
    <row r="27" spans="1:10" ht="18" thickBot="1" x14ac:dyDescent="0.35">
      <c r="A27" s="113" t="s">
        <v>329</v>
      </c>
      <c r="B27" s="114" t="s">
        <v>330</v>
      </c>
      <c r="C27" s="114"/>
      <c r="D27" s="114"/>
      <c r="E27" s="114"/>
      <c r="F27" s="114"/>
      <c r="G27" s="114"/>
      <c r="H27" s="114"/>
      <c r="I27" s="114"/>
      <c r="J27" s="115">
        <v>2</v>
      </c>
    </row>
    <row r="28" spans="1:10" ht="18" thickBot="1" x14ac:dyDescent="0.35">
      <c r="A28" s="116" t="s">
        <v>144</v>
      </c>
      <c r="B28" s="114" t="s">
        <v>331</v>
      </c>
      <c r="C28" s="114"/>
      <c r="D28" s="114"/>
      <c r="E28" s="114"/>
      <c r="F28" s="114"/>
      <c r="G28" s="114"/>
      <c r="H28" s="114"/>
      <c r="I28" s="114"/>
      <c r="J28" s="115">
        <v>254</v>
      </c>
    </row>
    <row r="29" spans="1:10" ht="18" thickBot="1" x14ac:dyDescent="0.35">
      <c r="A29" s="202"/>
      <c r="B29" s="203"/>
      <c r="C29" s="203"/>
      <c r="D29" s="203"/>
      <c r="E29" s="203"/>
      <c r="F29" s="203"/>
      <c r="G29" s="203"/>
      <c r="H29" s="203"/>
      <c r="I29" s="203"/>
      <c r="J29" s="204"/>
    </row>
    <row r="30" spans="1:10" ht="18" thickBot="1" x14ac:dyDescent="0.35">
      <c r="A30" s="117" t="s">
        <v>332</v>
      </c>
      <c r="B30" s="118" t="s">
        <v>333</v>
      </c>
      <c r="C30" s="118"/>
      <c r="D30" s="118"/>
      <c r="E30" s="118"/>
      <c r="F30" s="118"/>
      <c r="G30" s="118"/>
      <c r="H30" s="118"/>
      <c r="I30" s="118"/>
      <c r="J30" s="119">
        <v>2</v>
      </c>
    </row>
    <row r="31" spans="1:10" ht="18" thickBot="1" x14ac:dyDescent="0.35">
      <c r="A31" s="120" t="s">
        <v>145</v>
      </c>
      <c r="B31" s="118" t="s">
        <v>334</v>
      </c>
      <c r="C31" s="118"/>
      <c r="D31" s="118"/>
      <c r="E31" s="118"/>
      <c r="F31" s="118"/>
      <c r="G31" s="118"/>
      <c r="H31" s="118"/>
      <c r="I31" s="118"/>
      <c r="J31" s="119">
        <v>254</v>
      </c>
    </row>
    <row r="32" spans="1:10" ht="18" thickBot="1" x14ac:dyDescent="0.35">
      <c r="A32" s="202"/>
      <c r="B32" s="203"/>
      <c r="C32" s="203"/>
      <c r="D32" s="203"/>
      <c r="E32" s="203"/>
      <c r="F32" s="203"/>
      <c r="G32" s="203"/>
      <c r="H32" s="203"/>
      <c r="I32" s="203"/>
      <c r="J32" s="204"/>
    </row>
    <row r="33" spans="1:10" ht="18" thickBot="1" x14ac:dyDescent="0.35">
      <c r="A33" s="121" t="s">
        <v>335</v>
      </c>
      <c r="B33" s="122" t="s">
        <v>336</v>
      </c>
      <c r="C33" s="122"/>
      <c r="D33" s="122"/>
      <c r="E33" s="122"/>
      <c r="F33" s="122"/>
      <c r="G33" s="122"/>
      <c r="H33" s="122"/>
      <c r="I33" s="122"/>
      <c r="J33" s="123">
        <v>2</v>
      </c>
    </row>
    <row r="34" spans="1:10" ht="18" thickBot="1" x14ac:dyDescent="0.35">
      <c r="A34" s="124" t="s">
        <v>146</v>
      </c>
      <c r="B34" s="122" t="s">
        <v>337</v>
      </c>
      <c r="C34" s="122"/>
      <c r="D34" s="122"/>
      <c r="E34" s="122"/>
      <c r="F34" s="122"/>
      <c r="G34" s="125"/>
      <c r="H34" s="122"/>
      <c r="I34" s="122"/>
      <c r="J34" s="123">
        <v>254</v>
      </c>
    </row>
    <row r="35" spans="1:10" ht="15" thickBot="1" x14ac:dyDescent="0.35"/>
    <row r="36" spans="1:10" ht="15" thickBot="1" x14ac:dyDescent="0.35">
      <c r="A36" s="126" t="s">
        <v>338</v>
      </c>
    </row>
    <row r="37" spans="1:10" ht="43.2" x14ac:dyDescent="0.3">
      <c r="A37" s="127" t="s">
        <v>91</v>
      </c>
    </row>
    <row r="39" spans="1:10" ht="16.2" x14ac:dyDescent="0.3">
      <c r="A39" s="128" t="s">
        <v>92</v>
      </c>
    </row>
    <row r="40" spans="1:10" ht="16.2" x14ac:dyDescent="0.3">
      <c r="A40" s="129" t="s">
        <v>93</v>
      </c>
    </row>
    <row r="41" spans="1:10" ht="16.2" x14ac:dyDescent="0.3">
      <c r="A41" s="129" t="s">
        <v>94</v>
      </c>
    </row>
    <row r="42" spans="1:10" ht="16.2" x14ac:dyDescent="0.35">
      <c r="A42" s="130" t="s">
        <v>95</v>
      </c>
    </row>
    <row r="43" spans="1:10" ht="15.6" x14ac:dyDescent="0.3">
      <c r="A43" s="131" t="s">
        <v>96</v>
      </c>
    </row>
    <row r="44" spans="1:10" ht="15.6" x14ac:dyDescent="0.3">
      <c r="A44" s="132" t="s">
        <v>97</v>
      </c>
    </row>
    <row r="45" spans="1:10" ht="15.6" x14ac:dyDescent="0.3">
      <c r="A45" s="132"/>
    </row>
    <row r="46" spans="1:10" ht="15.6" x14ac:dyDescent="0.3">
      <c r="A46" s="131" t="s">
        <v>98</v>
      </c>
    </row>
    <row r="47" spans="1:10" ht="15.6" x14ac:dyDescent="0.3">
      <c r="A47" s="133" t="s">
        <v>105</v>
      </c>
    </row>
    <row r="48" spans="1:10" ht="15.6" x14ac:dyDescent="0.3">
      <c r="A48" s="133" t="s">
        <v>106</v>
      </c>
    </row>
    <row r="49" spans="1:1" ht="15.6" x14ac:dyDescent="0.3">
      <c r="A49" s="134" t="s">
        <v>306</v>
      </c>
    </row>
    <row r="50" spans="1:1" ht="15.6" x14ac:dyDescent="0.3">
      <c r="A50" s="135"/>
    </row>
    <row r="51" spans="1:1" ht="15.6" x14ac:dyDescent="0.3">
      <c r="A51" s="131" t="s">
        <v>99</v>
      </c>
    </row>
    <row r="52" spans="1:1" ht="15.6" x14ac:dyDescent="0.3">
      <c r="A52" s="132" t="s">
        <v>100</v>
      </c>
    </row>
    <row r="53" spans="1:1" ht="15.6" x14ac:dyDescent="0.3">
      <c r="A53" s="136"/>
    </row>
    <row r="54" spans="1:1" ht="15.6" x14ac:dyDescent="0.3">
      <c r="A54" s="131" t="s">
        <v>101</v>
      </c>
    </row>
    <row r="55" spans="1:1" ht="15.6" x14ac:dyDescent="0.3">
      <c r="A55" s="132" t="s">
        <v>102</v>
      </c>
    </row>
    <row r="56" spans="1:1" ht="15.6" x14ac:dyDescent="0.3">
      <c r="A56" s="136"/>
    </row>
    <row r="57" spans="1:1" ht="15.6" x14ac:dyDescent="0.3">
      <c r="A57" s="131" t="s">
        <v>103</v>
      </c>
    </row>
    <row r="58" spans="1:1" ht="15.6" x14ac:dyDescent="0.3">
      <c r="A58" s="132" t="s">
        <v>104</v>
      </c>
    </row>
    <row r="60" spans="1:1" ht="16.2" x14ac:dyDescent="0.3">
      <c r="A60" s="137" t="s">
        <v>107</v>
      </c>
    </row>
    <row r="61" spans="1:1" ht="16.2" x14ac:dyDescent="0.3">
      <c r="A61" s="137" t="s">
        <v>108</v>
      </c>
    </row>
    <row r="62" spans="1:1" ht="16.2" x14ac:dyDescent="0.3">
      <c r="A62" s="137" t="s">
        <v>109</v>
      </c>
    </row>
    <row r="63" spans="1:1" ht="16.2" x14ac:dyDescent="0.3">
      <c r="A63" s="133" t="s">
        <v>115</v>
      </c>
    </row>
    <row r="64" spans="1:1" ht="16.2" x14ac:dyDescent="0.3">
      <c r="A64" s="133" t="s">
        <v>116</v>
      </c>
    </row>
    <row r="65" spans="1:1" ht="16.2" x14ac:dyDescent="0.3">
      <c r="A65" s="133" t="s">
        <v>117</v>
      </c>
    </row>
    <row r="66" spans="1:1" ht="16.2" x14ac:dyDescent="0.3">
      <c r="A66" s="133" t="s">
        <v>118</v>
      </c>
    </row>
    <row r="67" spans="1:1" ht="16.2" x14ac:dyDescent="0.3">
      <c r="A67" s="133" t="s">
        <v>119</v>
      </c>
    </row>
    <row r="68" spans="1:1" ht="16.2" x14ac:dyDescent="0.3">
      <c r="A68" s="138"/>
    </row>
    <row r="69" spans="1:1" ht="16.2" x14ac:dyDescent="0.3">
      <c r="A69" s="137" t="s">
        <v>110</v>
      </c>
    </row>
    <row r="70" spans="1:1" ht="32.4" x14ac:dyDescent="0.3">
      <c r="A70" s="137" t="s">
        <v>111</v>
      </c>
    </row>
    <row r="71" spans="1:1" ht="16.2" x14ac:dyDescent="0.3">
      <c r="A71" s="137" t="s">
        <v>112</v>
      </c>
    </row>
    <row r="72" spans="1:1" ht="32.4" x14ac:dyDescent="0.3">
      <c r="A72" s="137" t="s">
        <v>113</v>
      </c>
    </row>
    <row r="73" spans="1:1" ht="48.6" x14ac:dyDescent="0.3">
      <c r="A73" s="137" t="s">
        <v>114</v>
      </c>
    </row>
    <row r="75" spans="1:1" ht="16.2" x14ac:dyDescent="0.3">
      <c r="A75" s="128" t="s">
        <v>120</v>
      </c>
    </row>
    <row r="76" spans="1:1" ht="16.2" x14ac:dyDescent="0.3">
      <c r="A76" s="139" t="s">
        <v>121</v>
      </c>
    </row>
    <row r="77" spans="1:1" ht="16.2" x14ac:dyDescent="0.3">
      <c r="A77" s="139" t="s">
        <v>122</v>
      </c>
    </row>
    <row r="78" spans="1:1" ht="16.2" x14ac:dyDescent="0.3">
      <c r="A78" s="139" t="s">
        <v>123</v>
      </c>
    </row>
    <row r="79" spans="1:1" ht="16.2" x14ac:dyDescent="0.3">
      <c r="A79" s="139" t="s">
        <v>124</v>
      </c>
    </row>
    <row r="80" spans="1:1" ht="16.2" x14ac:dyDescent="0.3">
      <c r="A80" s="139" t="s">
        <v>125</v>
      </c>
    </row>
    <row r="81" spans="1:1" ht="16.2" x14ac:dyDescent="0.35">
      <c r="A81" s="130" t="s">
        <v>126</v>
      </c>
    </row>
    <row r="83" spans="1:1" ht="62.4" x14ac:dyDescent="0.3">
      <c r="A83" s="140" t="s">
        <v>127</v>
      </c>
    </row>
    <row r="85" spans="1:1" ht="15.6" x14ac:dyDescent="0.3">
      <c r="A85" s="135" t="s">
        <v>128</v>
      </c>
    </row>
    <row r="86" spans="1:1" ht="15.6" x14ac:dyDescent="0.3">
      <c r="A86" s="141" t="s">
        <v>129</v>
      </c>
    </row>
  </sheetData>
  <mergeCells count="18">
    <mergeCell ref="A1:J1"/>
    <mergeCell ref="A2:A3"/>
    <mergeCell ref="B2:B3"/>
    <mergeCell ref="C2:C3"/>
    <mergeCell ref="D2:D3"/>
    <mergeCell ref="E2:E3"/>
    <mergeCell ref="F2:G2"/>
    <mergeCell ref="H2:H3"/>
    <mergeCell ref="I2:I3"/>
    <mergeCell ref="J2:J3"/>
    <mergeCell ref="A29:J29"/>
    <mergeCell ref="A32:J32"/>
    <mergeCell ref="A4:A13"/>
    <mergeCell ref="A14:J14"/>
    <mergeCell ref="A17:J17"/>
    <mergeCell ref="A20:J20"/>
    <mergeCell ref="A23:J23"/>
    <mergeCell ref="A26:J2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Cãlculo IP</vt:lpstr>
      <vt:lpstr>Máscara de Rede</vt:lpstr>
      <vt:lpstr>Projeto de Rede CCNA 1</vt:lpstr>
      <vt:lpstr>'Projeto de Rede CCNA 1'!Texto10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Tercio Fonseca</dc:creator>
  <cp:lastModifiedBy>TERCIO PASSOS DA FONSECA</cp:lastModifiedBy>
  <dcterms:created xsi:type="dcterms:W3CDTF">2022-01-10T17:49:15Z</dcterms:created>
  <dcterms:modified xsi:type="dcterms:W3CDTF">2025-12-17T00:56:50Z</dcterms:modified>
</cp:coreProperties>
</file>